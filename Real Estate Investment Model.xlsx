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Downloads\Jyoti Resume\Jyoti Bhawya\"/>
    </mc:Choice>
  </mc:AlternateContent>
  <xr:revisionPtr revIDLastSave="0" documentId="13_ncr:1_{5067FAC9-EC28-4397-9B00-04E42DE35B2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Inputs" sheetId="2" r:id="rId1"/>
    <sheet name="Cash Flow" sheetId="3" r:id="rId2"/>
    <sheet name="Scenarios" sheetId="4" r:id="rId3"/>
    <sheet name="Comparison" sheetId="5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9" i="5" l="1"/>
  <c r="D29" i="5"/>
  <c r="C29" i="5"/>
  <c r="E28" i="5"/>
  <c r="D28" i="5"/>
  <c r="C28" i="5"/>
  <c r="E26" i="5"/>
  <c r="D26" i="5"/>
  <c r="C26" i="5"/>
  <c r="E25" i="5"/>
  <c r="D25" i="5"/>
  <c r="C25" i="5"/>
  <c r="E24" i="5"/>
  <c r="D24" i="5"/>
  <c r="C24" i="5"/>
  <c r="E23" i="5"/>
  <c r="D23" i="5"/>
  <c r="C23" i="5"/>
  <c r="E21" i="5"/>
  <c r="D21" i="5"/>
  <c r="C21" i="5"/>
  <c r="E20" i="5"/>
  <c r="D20" i="5"/>
  <c r="C20" i="5"/>
  <c r="E19" i="5"/>
  <c r="D19" i="5"/>
  <c r="C19" i="5"/>
  <c r="E18" i="5"/>
  <c r="D18" i="5"/>
  <c r="C18" i="5"/>
  <c r="E17" i="5"/>
  <c r="D17" i="5"/>
  <c r="C17" i="5"/>
  <c r="E25" i="4"/>
  <c r="D25" i="4"/>
  <c r="C25" i="4"/>
  <c r="E24" i="4"/>
  <c r="D24" i="4"/>
  <c r="C24" i="4"/>
  <c r="E22" i="4"/>
  <c r="D22" i="4"/>
  <c r="C22" i="4"/>
  <c r="E21" i="4"/>
  <c r="D21" i="4"/>
  <c r="C21" i="4"/>
  <c r="E20" i="4"/>
  <c r="D20" i="4"/>
  <c r="C20" i="4"/>
  <c r="E18" i="4"/>
  <c r="D18" i="4"/>
  <c r="C18" i="4"/>
  <c r="E17" i="4"/>
  <c r="D17" i="4"/>
  <c r="C17" i="4"/>
  <c r="E16" i="4"/>
  <c r="D16" i="4"/>
  <c r="C16" i="4"/>
  <c r="E15" i="4"/>
  <c r="D15" i="4"/>
  <c r="C15" i="4"/>
  <c r="E14" i="4"/>
  <c r="D14" i="4"/>
  <c r="C14" i="4"/>
  <c r="L16" i="3"/>
  <c r="K16" i="3"/>
  <c r="J16" i="3"/>
  <c r="I16" i="3"/>
  <c r="H16" i="3"/>
  <c r="G16" i="3"/>
  <c r="F16" i="3"/>
  <c r="E16" i="3"/>
  <c r="D16" i="3"/>
  <c r="C16" i="3"/>
  <c r="L14" i="3"/>
  <c r="K14" i="3"/>
  <c r="J14" i="3"/>
  <c r="I14" i="3"/>
  <c r="H14" i="3"/>
  <c r="G14" i="3"/>
  <c r="F14" i="3"/>
  <c r="E14" i="3"/>
  <c r="D14" i="3"/>
  <c r="C14" i="3"/>
  <c r="L13" i="3"/>
  <c r="K13" i="3"/>
  <c r="J13" i="3"/>
  <c r="I13" i="3"/>
  <c r="H13" i="3"/>
  <c r="G13" i="3"/>
  <c r="F13" i="3"/>
  <c r="E13" i="3"/>
  <c r="D13" i="3"/>
  <c r="C13" i="3"/>
  <c r="L12" i="3"/>
  <c r="K12" i="3"/>
  <c r="J12" i="3"/>
  <c r="I12" i="3"/>
  <c r="H12" i="3"/>
  <c r="G12" i="3"/>
  <c r="F12" i="3"/>
  <c r="E12" i="3"/>
  <c r="D12" i="3"/>
  <c r="C12" i="3"/>
  <c r="L11" i="3"/>
  <c r="K11" i="3"/>
  <c r="J11" i="3"/>
  <c r="I11" i="3"/>
  <c r="H11" i="3"/>
  <c r="G11" i="3"/>
  <c r="F11" i="3"/>
  <c r="E11" i="3"/>
  <c r="D11" i="3"/>
  <c r="C11" i="3"/>
  <c r="L10" i="3"/>
  <c r="K10" i="3"/>
  <c r="J10" i="3"/>
  <c r="I10" i="3"/>
  <c r="H10" i="3"/>
  <c r="G10" i="3"/>
  <c r="F10" i="3"/>
  <c r="E10" i="3"/>
  <c r="D10" i="3"/>
  <c r="C10" i="3"/>
  <c r="L9" i="3"/>
  <c r="K9" i="3"/>
  <c r="J9" i="3"/>
  <c r="I9" i="3"/>
  <c r="H9" i="3"/>
  <c r="G9" i="3"/>
  <c r="F9" i="3"/>
  <c r="E9" i="3"/>
  <c r="D9" i="3"/>
  <c r="C9" i="3"/>
  <c r="L7" i="3"/>
  <c r="K7" i="3"/>
  <c r="J7" i="3"/>
  <c r="I7" i="3"/>
  <c r="H7" i="3"/>
  <c r="G7" i="3"/>
  <c r="F7" i="3"/>
  <c r="E7" i="3"/>
  <c r="D7" i="3"/>
  <c r="C7" i="3"/>
  <c r="L6" i="3"/>
  <c r="K6" i="3"/>
  <c r="J6" i="3"/>
  <c r="I6" i="3"/>
  <c r="H6" i="3"/>
  <c r="G6" i="3"/>
  <c r="F6" i="3"/>
  <c r="E6" i="3"/>
  <c r="D6" i="3"/>
  <c r="C6" i="3"/>
  <c r="L5" i="3"/>
  <c r="K5" i="3"/>
  <c r="J5" i="3"/>
  <c r="I5" i="3"/>
  <c r="H5" i="3"/>
  <c r="G5" i="3"/>
  <c r="F5" i="3"/>
  <c r="E5" i="3"/>
  <c r="D5" i="3"/>
  <c r="C5" i="3"/>
  <c r="F33" i="2"/>
  <c r="F35" i="2" s="1"/>
  <c r="C33" i="2"/>
  <c r="F26" i="2"/>
  <c r="C26" i="2"/>
  <c r="C24" i="2"/>
  <c r="C25" i="2" s="1"/>
  <c r="C20" i="2"/>
  <c r="C16" i="2"/>
  <c r="J18" i="3" l="1"/>
  <c r="H17" i="3"/>
  <c r="I18" i="3"/>
  <c r="G17" i="3"/>
  <c r="E18" i="3"/>
  <c r="C18" i="3"/>
  <c r="C20" i="3" s="1"/>
  <c r="D20" i="3" s="1"/>
  <c r="E20" i="3" s="1"/>
  <c r="H18" i="3"/>
  <c r="F17" i="3"/>
  <c r="L17" i="3"/>
  <c r="J17" i="3"/>
  <c r="G18" i="3"/>
  <c r="E17" i="3"/>
  <c r="F18" i="3"/>
  <c r="D17" i="3"/>
  <c r="C17" i="3"/>
  <c r="D18" i="3"/>
  <c r="K17" i="3"/>
  <c r="L18" i="3"/>
  <c r="K18" i="3"/>
  <c r="I17" i="3"/>
  <c r="C34" i="2"/>
  <c r="C35" i="2" s="1"/>
  <c r="F21" i="2"/>
  <c r="F34" i="2"/>
  <c r="F36" i="2" s="1"/>
  <c r="F37" i="2" s="1"/>
  <c r="F16" i="2" l="1"/>
  <c r="F15" i="2"/>
  <c r="F20" i="3"/>
  <c r="G20" i="3" s="1"/>
  <c r="H20" i="3" s="1"/>
  <c r="I20" i="3" s="1"/>
  <c r="J20" i="3" s="1"/>
  <c r="K20" i="3" s="1"/>
  <c r="L20" i="3" s="1"/>
  <c r="F17" i="2" l="1"/>
  <c r="F20" i="2" s="1"/>
  <c r="F23" i="2" l="1"/>
  <c r="F24" i="2" s="1"/>
  <c r="F25" i="2"/>
  <c r="F22" i="2"/>
</calcChain>
</file>

<file path=xl/sharedStrings.xml><?xml version="1.0" encoding="utf-8"?>
<sst xmlns="http://schemas.openxmlformats.org/spreadsheetml/2006/main" count="138" uniqueCount="110">
  <si>
    <t>REAL ESTATE INVESTMENT MODEL</t>
  </si>
  <si>
    <t>Gurugram, Haryana</t>
  </si>
  <si>
    <t>INPUTS &amp; ASSUMPTIONS</t>
  </si>
  <si>
    <t xml:space="preserve">  Blue = editable inputs  |  Black = formulas  |  All values in Indian Rupees (₹) unless stated</t>
  </si>
  <si>
    <t>A.  PROPERTY DETAILS</t>
  </si>
  <si>
    <t>D.  OPERATING EXPENSES</t>
  </si>
  <si>
    <t>Property type</t>
  </si>
  <si>
    <t>Residential – Apartment</t>
  </si>
  <si>
    <t>Property tax (₹/year)</t>
  </si>
  <si>
    <t>Property location</t>
  </si>
  <si>
    <t>Maintenance / society (₹/year)</t>
  </si>
  <si>
    <t>Built-up area (sq ft)</t>
  </si>
  <si>
    <t>Insurance premium (₹/year)</t>
  </si>
  <si>
    <t>Purchase price (₹)</t>
  </si>
  <si>
    <t>Management fee (% of income)</t>
  </si>
  <si>
    <t>Stamp duty &amp; registration (%)</t>
  </si>
  <si>
    <t>Repair / capex reserve (%)</t>
  </si>
  <si>
    <t>Other acquisition costs (₹)</t>
  </si>
  <si>
    <t>Management cost (₹)</t>
  </si>
  <si>
    <t>Total acquisition cost (₹)</t>
  </si>
  <si>
    <t>Capex reserve (₹)</t>
  </si>
  <si>
    <t>Total annual expenses (₹)</t>
  </si>
  <si>
    <t>B.  FINANCING &amp; LOAN</t>
  </si>
  <si>
    <t>Down payment (%)</t>
  </si>
  <si>
    <t>E.  KEY RETURN METRICS (YEAR 1)</t>
  </si>
  <si>
    <t>Loan amount (₹)</t>
  </si>
  <si>
    <t>NOI – Net Operating Income (₹)</t>
  </si>
  <si>
    <t>Loan interest rate (% p.a.)</t>
  </si>
  <si>
    <t>Gross rental yield (%)</t>
  </si>
  <si>
    <t>Loan tenure (years)</t>
  </si>
  <si>
    <t>Cap rate (%)</t>
  </si>
  <si>
    <t>Processing fee (₹)</t>
  </si>
  <si>
    <t>Net cash flow after EMI (₹)</t>
  </si>
  <si>
    <t>Monthly EMI (₹)</t>
  </si>
  <si>
    <t>Cash-on-cash return (%)</t>
  </si>
  <si>
    <t>Annual EMI (₹)</t>
  </si>
  <si>
    <t>DSCR (x)</t>
  </si>
  <si>
    <t>Initial equity deployed (₹)</t>
  </si>
  <si>
    <t>Price per sq ft (₹)</t>
  </si>
  <si>
    <t>C.  RENTAL INCOME</t>
  </si>
  <si>
    <t>F.  EXIT ASSUMPTIONS</t>
  </si>
  <si>
    <t>Monthly rent (₹)</t>
  </si>
  <si>
    <t>Hold period (years)</t>
  </si>
  <si>
    <t>Other monthly income (₹)</t>
  </si>
  <si>
    <t>Annual appreciation (% p.a.)</t>
  </si>
  <si>
    <t>Annual rent escalation (%)</t>
  </si>
  <si>
    <t>Selling cost (% of sale price)</t>
  </si>
  <si>
    <t>Vacancy rate (%)</t>
  </si>
  <si>
    <t>Capital gains tax rate (%)</t>
  </si>
  <si>
    <t>Gross annual rent (₹)</t>
  </si>
  <si>
    <t>Projected sale price (₹)</t>
  </si>
  <si>
    <t>Vacancy loss (₹)</t>
  </si>
  <si>
    <t>Less: Selling costs (₹)</t>
  </si>
  <si>
    <t>Effective annual income (₹)</t>
  </si>
  <si>
    <t>Less: Capital gains tax (₹)</t>
  </si>
  <si>
    <t>Net sale proceeds (₹)</t>
  </si>
  <si>
    <t>Total profit (rental + exit) (₹)</t>
  </si>
  <si>
    <t>ANNUAL CASH FLOW PROJECTION  (10-Year Hold)</t>
  </si>
  <si>
    <t xml:space="preserve">  All values in ₹. Rent escalates annually by the rate in Inputs!C26. EMI is fixed. Linked to Inputs sheet.</t>
  </si>
  <si>
    <t>Item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</si>
  <si>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</si>
  <si>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</si>
  <si>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</si>
  <si>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</si>
  <si>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</si>
  <si>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</si>
  <si>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</si>
  <si>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</si>
  <si>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</si>
  <si>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</si>
  <si>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Less: Vacancy loss (₹)</t>
  </si>
  <si>
    <t>Effective rental income (₹)</t>
  </si>
  <si>
    <t>Less: Property tax (₹)</t>
  </si>
  <si>
    <t>Less: Maintenance (₹)</t>
  </si>
  <si>
    <t>Less: Insurance (₹)</t>
  </si>
  <si>
    <t>Less: Mgmt fee (₹)</t>
  </si>
  <si>
    <t>Less: Capex reserve (₹)</t>
  </si>
  <si>
    <t>Total expenses (₹)</t>
  </si>
  <si>
    <t>Net Operating Income – NOI (₹)</t>
  </si>
  <si>
    <t>Less: Annual EMI (₹)</t>
  </si>
  <si>
    <t>Net Cash Flow (₹)</t>
  </si>
  <si>
    <t>Cumulative Cash Flow (₹)</t>
  </si>
  <si>
    <t>SCENARIO STRESS TEST  —  Bear / Base / Bull</t>
  </si>
  <si>
    <t xml:space="preserve">  Blue cells are editable. Outputs automatically recalculate. Change assumptions to test your model's resilience.</t>
  </si>
  <si>
    <t>Assumption</t>
  </si>
  <si>
    <t>Bear Case</t>
  </si>
  <si>
    <t>Base Case</t>
  </si>
  <si>
    <t>Bull Case</t>
  </si>
  <si>
    <t>Rent escalation p.a. (%)</t>
  </si>
  <si>
    <t>Appreciation (% p.a.)</t>
  </si>
  <si>
    <t>Loan interest rate (%)</t>
  </si>
  <si>
    <t>Selling cost (%)</t>
  </si>
  <si>
    <t>CALCULATED OUTPUTS</t>
  </si>
  <si>
    <t>Effective income (₹)</t>
  </si>
  <si>
    <t>NOI (₹)</t>
  </si>
  <si>
    <t>Gross yield (%)</t>
  </si>
  <si>
    <t>Cash-on-cash (%)</t>
  </si>
  <si>
    <t>PROPERTY COMPARISON TOOL  —  Up to 3 Properties</t>
  </si>
  <si>
    <t xml:space="preserve">  Enter details for up to 3 properties. Blue = inputs. Outputs calculated automatically.</t>
  </si>
  <si>
    <t>Input / Metric</t>
  </si>
  <si>
    <t>Property A</t>
  </si>
  <si>
    <t>Property B</t>
  </si>
  <si>
    <t>Property C</t>
  </si>
  <si>
    <t>Property name</t>
  </si>
  <si>
    <t>Annual appreciation (%)</t>
  </si>
  <si>
    <t>Loan rate (% p.a.)</t>
  </si>
  <si>
    <t>Annual expenses (₹)</t>
  </si>
  <si>
    <t>CALCULATED METRICS</t>
  </si>
  <si>
    <t>Net cash flow (₹)</t>
  </si>
  <si>
    <t>CoC return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</si>
</sst>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;\(#,##0\);\-"/>
  </numFmts>
  <fonts count="12" x14ac:knownFonts="1">
    <font>
      <sz val="11"/>
      <color theme="1"/>
      <name val="Calibri"/>
      <family val="2"/>
      <charset val="1"/>
    </font>
    <font>
      <b/>
      <sz val="24"/>
      <color rgb="FFFFFFFF"/>
      <name val="Arial"/>
      <charset val="1"/>
    </font>
    <font>
      <b/>
      <sz val="10"/>
      <color rgb="FFFFFFFF"/>
      <name val="Arial"/>
      <charset val="1"/>
    </font>
    <font>
      <b/>
      <sz val="13"/>
      <color rgb="FFFFFFFF"/>
      <name val="Arial"/>
      <charset val="1"/>
    </font>
    <font>
      <i/>
      <sz val="9"/>
      <color rgb="FF595959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375623"/>
      <name val="Arial"/>
      <charset val="1"/>
    </font>
    <font>
      <b/>
      <sz val="10"/>
      <color rgb="FFA32D2D"/>
      <name val="Arial"/>
      <charset val="1"/>
    </font>
    <font>
      <sz val="10"/>
      <color rgb="FFA32D2D"/>
      <name val="Arial"/>
      <charset val="1"/>
    </font>
    <font>
      <b/>
      <sz val="10"/>
      <color rgb="FF000000"/>
      <name val="Arial"/>
      <charset val="1"/>
    </font>
    <font>
      <b/>
      <sz val="10"/>
      <color rgb="FF2E75B6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BF3FB"/>
      </patternFill>
    </fill>
    <fill>
      <patternFill patternType="solid">
        <fgColor rgb="FFEBF3FB"/>
        <bgColor rgb="FFF2F2F2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FF2CC"/>
      </patternFill>
    </fill>
    <fill>
      <patternFill patternType="solid">
        <fgColor rgb="FFDEEAF1"/>
        <bgColor rgb="FFE2EFDA"/>
      </patternFill>
    </fill>
    <fill>
      <patternFill patternType="solid">
        <fgColor rgb="FF843C0C"/>
        <bgColor rgb="FFA32D2D"/>
      </patternFill>
    </fill>
    <fill>
      <patternFill patternType="solid">
        <fgColor rgb="FF1F4E79"/>
        <bgColor rgb="FF1F3864"/>
      </patternFill>
    </fill>
    <fill>
      <patternFill patternType="solid">
        <fgColor rgb="FF375623"/>
        <bgColor rgb="FF59595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3" fontId="6" fillId="5" borderId="1" xfId="0" applyNumberFormat="1" applyFont="1" applyFill="1" applyBorder="1" applyAlignment="1">
      <alignment horizontal="right" vertical="center"/>
    </xf>
    <xf numFmtId="164" fontId="6" fillId="5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3" fontId="7" fillId="6" borderId="1" xfId="0" applyNumberFormat="1" applyFont="1" applyFill="1" applyBorder="1" applyAlignment="1">
      <alignment horizontal="right" vertical="center"/>
    </xf>
    <xf numFmtId="3" fontId="8" fillId="7" borderId="1" xfId="0" applyNumberFormat="1" applyFont="1" applyFill="1" applyBorder="1" applyAlignment="1">
      <alignment horizontal="right" vertical="center"/>
    </xf>
    <xf numFmtId="10" fontId="5" fillId="4" borderId="1" xfId="0" applyNumberFormat="1" applyFont="1" applyFill="1" applyBorder="1" applyAlignment="1">
      <alignment horizontal="right" vertical="center"/>
    </xf>
    <xf numFmtId="3" fontId="9" fillId="4" borderId="1" xfId="0" applyNumberFormat="1" applyFont="1" applyFill="1" applyBorder="1" applyAlignment="1">
      <alignment horizontal="right" vertical="center"/>
    </xf>
    <xf numFmtId="2" fontId="5" fillId="4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9" fillId="4" borderId="1" xfId="0" applyFont="1" applyFill="1" applyBorder="1" applyAlignment="1">
      <alignment horizontal="left" vertical="center"/>
    </xf>
    <xf numFmtId="165" fontId="9" fillId="4" borderId="1" xfId="0" applyNumberFormat="1" applyFont="1" applyFill="1" applyBorder="1" applyAlignment="1">
      <alignment horizontal="right" vertical="center"/>
    </xf>
    <xf numFmtId="0" fontId="10" fillId="8" borderId="1" xfId="0" applyFont="1" applyFill="1" applyBorder="1" applyAlignment="1">
      <alignment horizontal="left" vertical="center"/>
    </xf>
    <xf numFmtId="165" fontId="10" fillId="8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1" fillId="8" borderId="1" xfId="0" applyFont="1" applyFill="1" applyBorder="1" applyAlignment="1">
      <alignment horizontal="left" vertical="center"/>
    </xf>
    <xf numFmtId="165" fontId="11" fillId="8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3" fontId="6" fillId="7" borderId="1" xfId="0" applyNumberFormat="1" applyFont="1" applyFill="1" applyBorder="1" applyAlignment="1">
      <alignment horizontal="right" vertical="center"/>
    </xf>
    <xf numFmtId="3" fontId="6" fillId="6" borderId="1" xfId="0" applyNumberFormat="1" applyFont="1" applyFill="1" applyBorder="1" applyAlignment="1">
      <alignment horizontal="right" vertical="center"/>
    </xf>
    <xf numFmtId="164" fontId="6" fillId="7" borderId="1" xfId="0" applyNumberFormat="1" applyFont="1" applyFill="1" applyBorder="1" applyAlignment="1">
      <alignment horizontal="right" vertical="center"/>
    </xf>
    <xf numFmtId="164" fontId="6" fillId="6" borderId="1" xfId="0" applyNumberFormat="1" applyFont="1" applyFill="1" applyBorder="1" applyAlignment="1">
      <alignment horizontal="right" vertical="center"/>
    </xf>
    <xf numFmtId="3" fontId="10" fillId="7" borderId="1" xfId="0" applyNumberFormat="1" applyFont="1" applyFill="1" applyBorder="1" applyAlignment="1">
      <alignment horizontal="right" vertical="center"/>
    </xf>
    <xf numFmtId="3" fontId="10" fillId="4" borderId="1" xfId="0" applyNumberFormat="1" applyFont="1" applyFill="1" applyBorder="1" applyAlignment="1">
      <alignment horizontal="right" vertical="center"/>
    </xf>
    <xf numFmtId="3" fontId="10" fillId="6" borderId="1" xfId="0" applyNumberFormat="1" applyFont="1" applyFill="1" applyBorder="1" applyAlignment="1">
      <alignment horizontal="right" vertical="center"/>
    </xf>
    <xf numFmtId="3" fontId="5" fillId="7" borderId="1" xfId="0" applyNumberFormat="1" applyFont="1" applyFill="1" applyBorder="1" applyAlignment="1">
      <alignment horizontal="right" vertical="center"/>
    </xf>
    <xf numFmtId="3" fontId="5" fillId="6" borderId="1" xfId="0" applyNumberFormat="1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left" vertical="center"/>
    </xf>
    <xf numFmtId="10" fontId="10" fillId="7" borderId="1" xfId="0" applyNumberFormat="1" applyFont="1" applyFill="1" applyBorder="1" applyAlignment="1">
      <alignment horizontal="right" vertical="center"/>
    </xf>
    <xf numFmtId="10" fontId="10" fillId="4" borderId="1" xfId="0" applyNumberFormat="1" applyFont="1" applyFill="1" applyBorder="1" applyAlignment="1">
      <alignment horizontal="right" vertical="center"/>
    </xf>
    <xf numFmtId="10" fontId="10" fillId="6" borderId="1" xfId="0" applyNumberFormat="1" applyFont="1" applyFill="1" applyBorder="1" applyAlignment="1">
      <alignment horizontal="right" vertical="center"/>
    </xf>
    <xf numFmtId="10" fontId="10" fillId="8" borderId="1" xfId="0" applyNumberFormat="1" applyFont="1" applyFill="1" applyBorder="1" applyAlignment="1">
      <alignment horizontal="right" vertical="center"/>
    </xf>
    <xf numFmtId="3" fontId="10" fillId="8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A32D2D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2F2F2"/>
      <rgbColor rgb="FFF9F9F9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43C0C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7"/>
  <sheetViews>
    <sheetView showGridLines="0" tabSelected="1" topLeftCell="A9" zoomScaleNormal="100" workbookViewId="0">
      <selection activeCell="N3" sqref="N3"/>
    </sheetView>
  </sheetViews>
  <sheetFormatPr defaultColWidth="8.7109375" defaultRowHeight="15" x14ac:dyDescent="0.25"/>
  <cols>
    <col min="1" max="1" width="2" customWidth="1"/>
    <col min="2" max="2" width="30" customWidth="1"/>
    <col min="3" max="3" width="18" customWidth="1"/>
    <col min="4" max="4" width="3" customWidth="1"/>
    <col min="5" max="5" width="30" customWidth="1"/>
    <col min="6" max="6" width="18" customWidth="1"/>
    <col min="7" max="7" width="2" customWidth="1"/>
  </cols>
  <sheetData>
    <row r="1" spans="2:6" x14ac:dyDescent="0.25">
      <c r="B1" s="4" t="s">
        <v>0</v>
      </c>
      <c r="C1" s="4"/>
      <c r="D1" s="4"/>
      <c r="E1" s="4"/>
      <c r="F1" s="4"/>
    </row>
    <row r="2" spans="2:6" x14ac:dyDescent="0.25">
      <c r="B2" s="4"/>
      <c r="C2" s="4"/>
      <c r="D2" s="4"/>
      <c r="E2" s="4"/>
      <c r="F2" s="4"/>
    </row>
    <row r="3" spans="2:6" x14ac:dyDescent="0.25">
      <c r="B3" s="4"/>
      <c r="C3" s="4"/>
      <c r="D3" s="4"/>
      <c r="E3" s="4"/>
      <c r="F3" s="4"/>
    </row>
    <row r="4" spans="2:6" x14ac:dyDescent="0.25">
      <c r="B4" s="4"/>
      <c r="C4" s="4"/>
      <c r="D4" s="4"/>
      <c r="E4" s="4"/>
      <c r="F4" s="4"/>
    </row>
    <row r="6" spans="2:6" ht="27.75" customHeight="1" x14ac:dyDescent="0.25">
      <c r="B6" s="3" t="s">
        <v>2</v>
      </c>
      <c r="C6" s="3"/>
      <c r="D6" s="3"/>
      <c r="E6" s="3"/>
      <c r="F6" s="3"/>
    </row>
    <row r="7" spans="2:6" ht="15" customHeight="1" x14ac:dyDescent="0.25">
      <c r="B7" s="2" t="s">
        <v>3</v>
      </c>
      <c r="C7" s="2"/>
      <c r="D7" s="2"/>
      <c r="E7" s="2"/>
      <c r="F7" s="2"/>
    </row>
    <row r="9" spans="2:6" ht="18" customHeight="1" x14ac:dyDescent="0.25">
      <c r="B9" s="1" t="s">
        <v>4</v>
      </c>
      <c r="C9" s="1"/>
      <c r="E9" s="1" t="s">
        <v>5</v>
      </c>
      <c r="F9" s="1"/>
    </row>
    <row r="10" spans="2:6" ht="16.5" customHeight="1" x14ac:dyDescent="0.25">
      <c r="B10" s="6" t="s">
        <v>6</v>
      </c>
      <c r="C10" s="7" t="s">
        <v>7</v>
      </c>
      <c r="E10" s="6" t="s">
        <v>8</v>
      </c>
      <c r="F10" s="8">
        <v>18000</v>
      </c>
    </row>
    <row r="11" spans="2:6" ht="16.5" customHeight="1" x14ac:dyDescent="0.25">
      <c r="B11" s="6" t="s">
        <v>9</v>
      </c>
      <c r="C11" s="7" t="s">
        <v>1</v>
      </c>
      <c r="E11" s="6" t="s">
        <v>10</v>
      </c>
      <c r="F11" s="8">
        <v>36000</v>
      </c>
    </row>
    <row r="12" spans="2:6" ht="16.5" customHeight="1" x14ac:dyDescent="0.25">
      <c r="B12" s="6" t="s">
        <v>11</v>
      </c>
      <c r="C12" s="8">
        <v>1200</v>
      </c>
      <c r="E12" s="6" t="s">
        <v>12</v>
      </c>
      <c r="F12" s="8">
        <v>12000</v>
      </c>
    </row>
    <row r="13" spans="2:6" ht="16.5" customHeight="1" x14ac:dyDescent="0.25">
      <c r="B13" s="6" t="s">
        <v>13</v>
      </c>
      <c r="C13" s="8">
        <v>9000000</v>
      </c>
      <c r="E13" s="6" t="s">
        <v>14</v>
      </c>
      <c r="F13" s="9">
        <v>0.08</v>
      </c>
    </row>
    <row r="14" spans="2:6" ht="16.5" customHeight="1" x14ac:dyDescent="0.25">
      <c r="B14" s="6" t="s">
        <v>15</v>
      </c>
      <c r="C14" s="9">
        <v>7.0000000000000007E-2</v>
      </c>
      <c r="E14" s="6" t="s">
        <v>16</v>
      </c>
      <c r="F14" s="9">
        <v>0.05</v>
      </c>
    </row>
    <row r="15" spans="2:6" ht="16.5" customHeight="1" x14ac:dyDescent="0.25">
      <c r="B15" s="6" t="s">
        <v>17</v>
      </c>
      <c r="C15" s="8">
        <v>150000</v>
      </c>
      <c r="E15" s="6" t="s">
        <v>18</v>
      </c>
      <c r="F15" s="10">
        <f>C35*F13</f>
        <v>24729.600000000002</v>
      </c>
    </row>
    <row r="16" spans="2:6" ht="16.5" customHeight="1" x14ac:dyDescent="0.25">
      <c r="B16" s="6" t="s">
        <v>19</v>
      </c>
      <c r="C16" s="11">
        <f>C13+C13*C14+C15</f>
        <v>9780000</v>
      </c>
      <c r="E16" s="6" t="s">
        <v>20</v>
      </c>
      <c r="F16" s="10">
        <f>C35*F14</f>
        <v>15456</v>
      </c>
    </row>
    <row r="17" spans="2:6" ht="16.5" customHeight="1" x14ac:dyDescent="0.25">
      <c r="E17" s="6" t="s">
        <v>21</v>
      </c>
      <c r="F17" s="12">
        <f>F10+F11+F12+F15+F16</f>
        <v>106185.60000000001</v>
      </c>
    </row>
    <row r="18" spans="2:6" ht="18" customHeight="1" x14ac:dyDescent="0.25">
      <c r="B18" s="1" t="s">
        <v>22</v>
      </c>
      <c r="C18" s="1"/>
    </row>
    <row r="19" spans="2:6" ht="18" customHeight="1" x14ac:dyDescent="0.25">
      <c r="B19" s="6" t="s">
        <v>23</v>
      </c>
      <c r="C19" s="9">
        <v>0.2</v>
      </c>
      <c r="E19" s="1" t="s">
        <v>24</v>
      </c>
      <c r="F19" s="1"/>
    </row>
    <row r="20" spans="2:6" ht="16.5" customHeight="1" x14ac:dyDescent="0.25">
      <c r="B20" s="6" t="s">
        <v>25</v>
      </c>
      <c r="C20" s="10">
        <f>C13*(1-C19)</f>
        <v>7200000</v>
      </c>
      <c r="E20" s="6" t="s">
        <v>26</v>
      </c>
      <c r="F20" s="11">
        <f>C35-F17</f>
        <v>202934.39999999999</v>
      </c>
    </row>
    <row r="21" spans="2:6" ht="16.5" customHeight="1" x14ac:dyDescent="0.25">
      <c r="B21" s="6" t="s">
        <v>27</v>
      </c>
      <c r="C21" s="9">
        <v>8.7499999999999994E-2</v>
      </c>
      <c r="E21" s="6" t="s">
        <v>28</v>
      </c>
      <c r="F21" s="13">
        <f>C33/C13</f>
        <v>3.7333333333333336E-2</v>
      </c>
    </row>
    <row r="22" spans="2:6" ht="16.5" customHeight="1" x14ac:dyDescent="0.25">
      <c r="B22" s="6" t="s">
        <v>29</v>
      </c>
      <c r="C22" s="8">
        <v>20</v>
      </c>
      <c r="E22" s="6" t="s">
        <v>30</v>
      </c>
      <c r="F22" s="13">
        <f>IF(C16&gt;0,F20/C16,0)</f>
        <v>2.0749938650306748E-2</v>
      </c>
    </row>
    <row r="23" spans="2:6" ht="16.5" customHeight="1" x14ac:dyDescent="0.25">
      <c r="B23" s="6" t="s">
        <v>31</v>
      </c>
      <c r="C23" s="8">
        <v>10000</v>
      </c>
      <c r="E23" s="6" t="s">
        <v>32</v>
      </c>
      <c r="F23" s="11">
        <f>F20-C25</f>
        <v>-560591.65249775012</v>
      </c>
    </row>
    <row r="24" spans="2:6" ht="16.5" customHeight="1" x14ac:dyDescent="0.25">
      <c r="B24" s="6" t="s">
        <v>33</v>
      </c>
      <c r="C24" s="10">
        <f>IFERROR(C20*C21/12*(1+C21/12)^(C22*12)/((1+C21/12)^(C22*12)-1),0)</f>
        <v>63627.171041479181</v>
      </c>
      <c r="E24" s="6" t="s">
        <v>34</v>
      </c>
      <c r="F24" s="13">
        <f>IF(C26&gt;0,F23/C26,0)</f>
        <v>-0.2164446534740348</v>
      </c>
    </row>
    <row r="25" spans="2:6" ht="16.5" customHeight="1" x14ac:dyDescent="0.25">
      <c r="B25" s="6" t="s">
        <v>35</v>
      </c>
      <c r="C25" s="14">
        <f>C24*12</f>
        <v>763526.05249775015</v>
      </c>
      <c r="E25" s="6" t="s">
        <v>36</v>
      </c>
      <c r="F25" s="15">
        <f>IF(C25&gt;0,F20/C25,0)</f>
        <v>0.26578582267904732</v>
      </c>
    </row>
    <row r="26" spans="2:6" ht="16.5" customHeight="1" x14ac:dyDescent="0.25">
      <c r="B26" s="6" t="s">
        <v>37</v>
      </c>
      <c r="C26" s="11">
        <f>C13*C19+C13*C14+C15+C23</f>
        <v>2590000</v>
      </c>
      <c r="E26" s="6" t="s">
        <v>38</v>
      </c>
      <c r="F26" s="10">
        <f>IF(C12&gt;0,C13/C12,0)</f>
        <v>7500</v>
      </c>
    </row>
    <row r="27" spans="2:6" ht="6" customHeight="1" x14ac:dyDescent="0.25"/>
    <row r="28" spans="2:6" ht="18" customHeight="1" x14ac:dyDescent="0.25">
      <c r="B28" s="1" t="s">
        <v>39</v>
      </c>
      <c r="C28" s="1"/>
      <c r="E28" s="1" t="s">
        <v>40</v>
      </c>
      <c r="F28" s="1"/>
    </row>
    <row r="29" spans="2:6" ht="16.5" customHeight="1" x14ac:dyDescent="0.25">
      <c r="B29" s="6" t="s">
        <v>41</v>
      </c>
      <c r="C29" s="8">
        <v>28000</v>
      </c>
      <c r="E29" s="6" t="s">
        <v>42</v>
      </c>
      <c r="F29" s="8">
        <v>10</v>
      </c>
    </row>
    <row r="30" spans="2:6" ht="16.5" customHeight="1" x14ac:dyDescent="0.25">
      <c r="B30" s="6" t="s">
        <v>43</v>
      </c>
      <c r="C30" s="8">
        <v>0</v>
      </c>
      <c r="E30" s="6" t="s">
        <v>44</v>
      </c>
      <c r="F30" s="9">
        <v>7.0000000000000007E-2</v>
      </c>
    </row>
    <row r="31" spans="2:6" ht="16.5" customHeight="1" x14ac:dyDescent="0.25">
      <c r="B31" s="6" t="s">
        <v>45</v>
      </c>
      <c r="C31" s="9">
        <v>0.05</v>
      </c>
      <c r="E31" s="6" t="s">
        <v>46</v>
      </c>
      <c r="F31" s="9">
        <v>0.02</v>
      </c>
    </row>
    <row r="32" spans="2:6" ht="16.5" customHeight="1" x14ac:dyDescent="0.25">
      <c r="B32" s="6" t="s">
        <v>47</v>
      </c>
      <c r="C32" s="9">
        <v>0.08</v>
      </c>
      <c r="E32" s="6" t="s">
        <v>48</v>
      </c>
      <c r="F32" s="9">
        <v>0.2</v>
      </c>
    </row>
    <row r="33" spans="2:6" ht="16.5" customHeight="1" x14ac:dyDescent="0.25">
      <c r="B33" s="6" t="s">
        <v>49</v>
      </c>
      <c r="C33" s="10">
        <f>(C29+C30)*12</f>
        <v>336000</v>
      </c>
      <c r="E33" s="6" t="s">
        <v>50</v>
      </c>
      <c r="F33" s="10">
        <f>C13*(1+F30)^F29</f>
        <v>17704362.21560609</v>
      </c>
    </row>
    <row r="34" spans="2:6" ht="16.5" customHeight="1" x14ac:dyDescent="0.25">
      <c r="B34" s="6" t="s">
        <v>51</v>
      </c>
      <c r="C34" s="14">
        <f>C33*C32</f>
        <v>26880</v>
      </c>
      <c r="E34" s="6" t="s">
        <v>52</v>
      </c>
      <c r="F34" s="14">
        <f>F33*F31</f>
        <v>354087.24431212182</v>
      </c>
    </row>
    <row r="35" spans="2:6" ht="16.5" customHeight="1" x14ac:dyDescent="0.25">
      <c r="B35" s="6" t="s">
        <v>53</v>
      </c>
      <c r="C35" s="11">
        <f>C33-C34</f>
        <v>309120</v>
      </c>
      <c r="E35" s="6" t="s">
        <v>54</v>
      </c>
      <c r="F35" s="14">
        <f>MAX(0,(F33-C13)*F32)</f>
        <v>1740872.4431212181</v>
      </c>
    </row>
    <row r="36" spans="2:6" ht="16.5" customHeight="1" x14ac:dyDescent="0.25">
      <c r="E36" s="6" t="s">
        <v>55</v>
      </c>
      <c r="F36" s="11">
        <f>F33-F34-F35</f>
        <v>15609402.52817275</v>
      </c>
    </row>
    <row r="37" spans="2:6" ht="16.5" customHeight="1" x14ac:dyDescent="0.25">
      <c r="E37" s="6" t="s">
        <v>56</v>
      </c>
      <c r="F37" s="11">
        <f>F36-C26</f>
        <v>13019402.52817275</v>
      </c>
    </row>
  </sheetData>
  <mergeCells count="9">
    <mergeCell ref="E19:F19"/>
    <mergeCell ref="B28:C28"/>
    <mergeCell ref="E28:F28"/>
    <mergeCell ref="B1:F4"/>
    <mergeCell ref="B6:F6"/>
    <mergeCell ref="B7:F7"/>
    <mergeCell ref="B9:C9"/>
    <mergeCell ref="E9:F9"/>
    <mergeCell ref="B18:C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20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30" customWidth="1"/>
    <col min="3" max="12" width="14" customWidth="1"/>
  </cols>
  <sheetData>
    <row r="1" spans="2:12" ht="27.75" customHeight="1" x14ac:dyDescent="0.25">
      <c r="B1" s="3" t="s">
        <v>57</v>
      </c>
      <c r="C1" s="3"/>
      <c r="D1" s="3"/>
      <c r="E1" s="3"/>
      <c r="F1" s="3"/>
      <c r="G1" s="3"/>
      <c r="H1" s="3"/>
      <c r="I1" s="3"/>
      <c r="J1" s="3"/>
      <c r="K1" s="3"/>
      <c r="L1" s="3"/>
    </row>
    <row r="2" spans="2:12" ht="13.5" customHeight="1" x14ac:dyDescent="0.25">
      <c r="B2" s="2" t="s">
        <v>58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spans="2:12" ht="19.5" customHeight="1" x14ac:dyDescent="0.25">
      <c r="B4" s="16" t="s">
        <v>59</v>
      </c>
      <c r="C4" s="5" t="s">
        <v>60</v>
      </c>
      <c r="D4" s="5" t="s">
        <v>61</v>
      </c>
      <c r="E4" s="5" t="s">
        <v>62</v>
      </c>
      <c r="F4" s="5" t="s">
        <v>63</v>
      </c>
      <c r="G4" s="5" t="s">
        <v>64</v>
      </c>
      <c r="H4" s="5" t="s">
        <v>65</v>
      </c>
      <c r="I4" s="5" t="s">
        <v>66</v>
      </c>
      <c r="J4" s="5" t="s">
        <v>67</v>
      </c>
      <c r="K4" s="5" t="s">
        <v>68</v>
      </c>
      <c r="L4" s="5" t="s">
        <v>69</v>
      </c>
    </row>
    <row r="5" spans="2:12" ht="16.5" customHeight="1" x14ac:dyDescent="0.25">
      <c r="B5" s="6" t="s">
        <v>49</v>
      </c>
      <c r="C5" s="17">
        <f>(Inputs!C29+Inputs!C30)*12*(1+Inputs!C31)^0</f>
        <v>336000</v>
      </c>
      <c r="D5" s="17">
        <f>(Inputs!C29+Inputs!C30)*12*(1+Inputs!C31)^1</f>
        <v>352800</v>
      </c>
      <c r="E5" s="17">
        <f>(Inputs!C29+Inputs!C30)*12*(1+Inputs!C31)^2</f>
        <v>370440</v>
      </c>
      <c r="F5" s="17">
        <f>(Inputs!C29+Inputs!C30)*12*(1+Inputs!C31)^3</f>
        <v>388962.00000000006</v>
      </c>
      <c r="G5" s="17">
        <f>(Inputs!C29+Inputs!C30)*12*(1+Inputs!C31)^4</f>
        <v>408410.1</v>
      </c>
      <c r="H5" s="17">
        <f>(Inputs!C29+Inputs!C30)*12*(1+Inputs!C31)^5</f>
        <v>428830.60500000004</v>
      </c>
      <c r="I5" s="17">
        <f>(Inputs!C29+Inputs!C30)*12*(1+Inputs!C31)^6</f>
        <v>450272.13524999999</v>
      </c>
      <c r="J5" s="17">
        <f>(Inputs!C29+Inputs!C30)*12*(1+Inputs!C31)^7</f>
        <v>472785.74201250006</v>
      </c>
      <c r="K5" s="17">
        <f>(Inputs!C29+Inputs!C30)*12*(1+Inputs!C31)^8</f>
        <v>496425.029113125</v>
      </c>
      <c r="L5" s="17">
        <f>(Inputs!C29+Inputs!C30)*12*(1+Inputs!C31)^9</f>
        <v>521246.28056878131</v>
      </c>
    </row>
    <row r="6" spans="2:12" ht="16.5" customHeight="1" x14ac:dyDescent="0.25">
      <c r="B6" s="18" t="s">
        <v>70</v>
      </c>
      <c r="C6" s="19">
        <f>-(Inputs!C29+Inputs!C30)*12*(1+Inputs!C31)^0*(1-Inputs!C32)/( (1-Inputs!C32) )*Inputs!C32</f>
        <v>-26880</v>
      </c>
      <c r="D6" s="19">
        <f>-(Inputs!C29+Inputs!C30)*12*(1+Inputs!C31)^1*(1-Inputs!C32)/( (1-Inputs!C32) )*Inputs!C32</f>
        <v>-28224</v>
      </c>
      <c r="E6" s="19">
        <f>-(Inputs!C29+Inputs!C30)*12*(1+Inputs!C31)^2*(1-Inputs!C32)/( (1-Inputs!C32) )*Inputs!C32</f>
        <v>-29635.200000000001</v>
      </c>
      <c r="F6" s="19">
        <f>-(Inputs!C29+Inputs!C30)*12*(1+Inputs!C31)^3*(1-Inputs!C32)/( (1-Inputs!C32) )*Inputs!C32</f>
        <v>-31116.960000000006</v>
      </c>
      <c r="G6" s="19">
        <f>-(Inputs!C29+Inputs!C30)*12*(1+Inputs!C31)^4*(1-Inputs!C32)/( (1-Inputs!C32) )*Inputs!C32</f>
        <v>-32672.807999999997</v>
      </c>
      <c r="H6" s="19">
        <f>-(Inputs!C29+Inputs!C30)*12*(1+Inputs!C31)^5*(1-Inputs!C32)/( (1-Inputs!C32) )*Inputs!C32</f>
        <v>-34306.448400000001</v>
      </c>
      <c r="I6" s="19">
        <f>-(Inputs!C29+Inputs!C30)*12*(1+Inputs!C31)^6*(1-Inputs!C32)/( (1-Inputs!C32) )*Inputs!C32</f>
        <v>-36021.770819999998</v>
      </c>
      <c r="J6" s="19">
        <f>-(Inputs!C29+Inputs!C30)*12*(1+Inputs!C31)^7*(1-Inputs!C32)/( (1-Inputs!C32) )*Inputs!C32</f>
        <v>-37822.859361000003</v>
      </c>
      <c r="K6" s="19">
        <f>-(Inputs!C29+Inputs!C30)*12*(1+Inputs!C31)^8*(1-Inputs!C32)/( (1-Inputs!C32) )*Inputs!C32</f>
        <v>-39714.002329050003</v>
      </c>
      <c r="L6" s="19">
        <f>-(Inputs!C29+Inputs!C30)*12*(1+Inputs!C31)^9*(1-Inputs!C32)/( (1-Inputs!C32) )*Inputs!C32</f>
        <v>-41699.702445502502</v>
      </c>
    </row>
    <row r="7" spans="2:12" ht="16.5" customHeight="1" x14ac:dyDescent="0.25">
      <c r="B7" s="20" t="s">
        <v>71</v>
      </c>
      <c r="C7" s="21">
        <f>(Inputs!C29+Inputs!C30)*12*(1+Inputs!C31)^0*(1-Inputs!C32)</f>
        <v>309120</v>
      </c>
      <c r="D7" s="21">
        <f>(Inputs!C29+Inputs!C30)*12*(1+Inputs!C31)^1*(1-Inputs!C32)</f>
        <v>324576</v>
      </c>
      <c r="E7" s="21">
        <f>(Inputs!C29+Inputs!C30)*12*(1+Inputs!C31)^2*(1-Inputs!C32)</f>
        <v>340804.8</v>
      </c>
      <c r="F7" s="21">
        <f>(Inputs!C29+Inputs!C30)*12*(1+Inputs!C31)^3*(1-Inputs!C32)</f>
        <v>357845.0400000001</v>
      </c>
      <c r="G7" s="21">
        <f>(Inputs!C29+Inputs!C30)*12*(1+Inputs!C31)^4*(1-Inputs!C32)</f>
        <v>375737.29200000002</v>
      </c>
      <c r="H7" s="21">
        <f>(Inputs!C29+Inputs!C30)*12*(1+Inputs!C31)^5*(1-Inputs!C32)</f>
        <v>394524.15660000005</v>
      </c>
      <c r="I7" s="21">
        <f>(Inputs!C29+Inputs!C30)*12*(1+Inputs!C31)^6*(1-Inputs!C32)</f>
        <v>414250.36443000002</v>
      </c>
      <c r="J7" s="21">
        <f>(Inputs!C29+Inputs!C30)*12*(1+Inputs!C31)^7*(1-Inputs!C32)</f>
        <v>434962.88265150005</v>
      </c>
      <c r="K7" s="21">
        <f>(Inputs!C29+Inputs!C30)*12*(1+Inputs!C31)^8*(1-Inputs!C32)</f>
        <v>456711.02678407502</v>
      </c>
      <c r="L7" s="21">
        <f>(Inputs!C29+Inputs!C30)*12*(1+Inputs!C31)^9*(1-Inputs!C32)</f>
        <v>479546.5781232788</v>
      </c>
    </row>
    <row r="8" spans="2:12" ht="6" customHeight="1" x14ac:dyDescent="0.25"/>
    <row r="9" spans="2:12" ht="16.5" customHeight="1" x14ac:dyDescent="0.25">
      <c r="B9" s="18" t="s">
        <v>72</v>
      </c>
      <c r="C9" s="19">
        <f>Inputs!F10</f>
        <v>18000</v>
      </c>
      <c r="D9" s="19">
        <f>Inputs!F10</f>
        <v>18000</v>
      </c>
      <c r="E9" s="19">
        <f>Inputs!F10</f>
        <v>18000</v>
      </c>
      <c r="F9" s="19">
        <f>Inputs!F10</f>
        <v>18000</v>
      </c>
      <c r="G9" s="19">
        <f>Inputs!F10</f>
        <v>18000</v>
      </c>
      <c r="H9" s="19">
        <f>Inputs!F10</f>
        <v>18000</v>
      </c>
      <c r="I9" s="19">
        <f>Inputs!F10</f>
        <v>18000</v>
      </c>
      <c r="J9" s="19">
        <f>Inputs!F10</f>
        <v>18000</v>
      </c>
      <c r="K9" s="19">
        <f>Inputs!F10</f>
        <v>18000</v>
      </c>
      <c r="L9" s="19">
        <f>Inputs!F10</f>
        <v>18000</v>
      </c>
    </row>
    <row r="10" spans="2:12" ht="16.5" customHeight="1" x14ac:dyDescent="0.25">
      <c r="B10" s="18" t="s">
        <v>73</v>
      </c>
      <c r="C10" s="19">
        <f>Inputs!F11</f>
        <v>36000</v>
      </c>
      <c r="D10" s="19">
        <f>Inputs!F11</f>
        <v>36000</v>
      </c>
      <c r="E10" s="19">
        <f>Inputs!F11</f>
        <v>36000</v>
      </c>
      <c r="F10" s="19">
        <f>Inputs!F11</f>
        <v>36000</v>
      </c>
      <c r="G10" s="19">
        <f>Inputs!F11</f>
        <v>36000</v>
      </c>
      <c r="H10" s="19">
        <f>Inputs!F11</f>
        <v>36000</v>
      </c>
      <c r="I10" s="19">
        <f>Inputs!F11</f>
        <v>36000</v>
      </c>
      <c r="J10" s="19">
        <f>Inputs!F11</f>
        <v>36000</v>
      </c>
      <c r="K10" s="19">
        <f>Inputs!F11</f>
        <v>36000</v>
      </c>
      <c r="L10" s="19">
        <f>Inputs!F11</f>
        <v>36000</v>
      </c>
    </row>
    <row r="11" spans="2:12" ht="16.5" customHeight="1" x14ac:dyDescent="0.25">
      <c r="B11" s="18" t="s">
        <v>74</v>
      </c>
      <c r="C11" s="19">
        <f>Inputs!F12</f>
        <v>12000</v>
      </c>
      <c r="D11" s="19">
        <f>Inputs!F12</f>
        <v>12000</v>
      </c>
      <c r="E11" s="19">
        <f>Inputs!F12</f>
        <v>12000</v>
      </c>
      <c r="F11" s="19">
        <f>Inputs!F12</f>
        <v>12000</v>
      </c>
      <c r="G11" s="19">
        <f>Inputs!F12</f>
        <v>12000</v>
      </c>
      <c r="H11" s="19">
        <f>Inputs!F12</f>
        <v>12000</v>
      </c>
      <c r="I11" s="19">
        <f>Inputs!F12</f>
        <v>12000</v>
      </c>
      <c r="J11" s="19">
        <f>Inputs!F12</f>
        <v>12000</v>
      </c>
      <c r="K11" s="19">
        <f>Inputs!F12</f>
        <v>12000</v>
      </c>
      <c r="L11" s="19">
        <f>Inputs!F12</f>
        <v>12000</v>
      </c>
    </row>
    <row r="12" spans="2:12" ht="16.5" customHeight="1" x14ac:dyDescent="0.25">
      <c r="B12" s="18" t="s">
        <v>75</v>
      </c>
      <c r="C12" s="19">
        <f>(Inputs!C29+Inputs!C30)*12*(1+Inputs!C31)^0*(1-Inputs!C32)*Inputs!F13</f>
        <v>24729.600000000002</v>
      </c>
      <c r="D12" s="19">
        <f>(Inputs!C29+Inputs!C30)*12*(1+Inputs!C31)^1*(1-Inputs!C32)*Inputs!F13</f>
        <v>25966.080000000002</v>
      </c>
      <c r="E12" s="19">
        <f>(Inputs!C29+Inputs!C30)*12*(1+Inputs!C31)^2*(1-Inputs!C32)*Inputs!F13</f>
        <v>27264.383999999998</v>
      </c>
      <c r="F12" s="19">
        <f>(Inputs!C29+Inputs!C30)*12*(1+Inputs!C31)^3*(1-Inputs!C32)*Inputs!F13</f>
        <v>28627.603200000009</v>
      </c>
      <c r="G12" s="19">
        <f>(Inputs!C29+Inputs!C30)*12*(1+Inputs!C31)^4*(1-Inputs!C32)*Inputs!F13</f>
        <v>30058.983360000002</v>
      </c>
      <c r="H12" s="19">
        <f>(Inputs!C29+Inputs!C30)*12*(1+Inputs!C31)^5*(1-Inputs!C32)*Inputs!F13</f>
        <v>31561.932528000005</v>
      </c>
      <c r="I12" s="19">
        <f>(Inputs!C29+Inputs!C30)*12*(1+Inputs!C31)^6*(1-Inputs!C32)*Inputs!F13</f>
        <v>33140.029154399999</v>
      </c>
      <c r="J12" s="19">
        <f>(Inputs!C29+Inputs!C30)*12*(1+Inputs!C31)^7*(1-Inputs!C32)*Inputs!F13</f>
        <v>34797.030612120005</v>
      </c>
      <c r="K12" s="19">
        <f>(Inputs!C29+Inputs!C30)*12*(1+Inputs!C31)^8*(1-Inputs!C32)*Inputs!F13</f>
        <v>36536.882142726005</v>
      </c>
      <c r="L12" s="19">
        <f>(Inputs!C29+Inputs!C30)*12*(1+Inputs!C31)^9*(1-Inputs!C32)*Inputs!F13</f>
        <v>38363.726249862302</v>
      </c>
    </row>
    <row r="13" spans="2:12" ht="16.5" customHeight="1" x14ac:dyDescent="0.25">
      <c r="B13" s="18" t="s">
        <v>76</v>
      </c>
      <c r="C13" s="19">
        <f>(Inputs!C29+Inputs!C30)*12*(1+Inputs!C31)^0*(1-Inputs!C32)*Inputs!F14</f>
        <v>15456</v>
      </c>
      <c r="D13" s="19">
        <f>(Inputs!C29+Inputs!C30)*12*(1+Inputs!C31)^1*(1-Inputs!C32)*Inputs!F14</f>
        <v>16228.800000000001</v>
      </c>
      <c r="E13" s="19">
        <f>(Inputs!C29+Inputs!C30)*12*(1+Inputs!C31)^2*(1-Inputs!C32)*Inputs!F14</f>
        <v>17040.240000000002</v>
      </c>
      <c r="F13" s="19">
        <f>(Inputs!C29+Inputs!C30)*12*(1+Inputs!C31)^3*(1-Inputs!C32)*Inputs!F14</f>
        <v>17892.252000000004</v>
      </c>
      <c r="G13" s="19">
        <f>(Inputs!C29+Inputs!C30)*12*(1+Inputs!C31)^4*(1-Inputs!C32)*Inputs!F14</f>
        <v>18786.864600000001</v>
      </c>
      <c r="H13" s="19">
        <f>(Inputs!C29+Inputs!C30)*12*(1+Inputs!C31)^5*(1-Inputs!C32)*Inputs!F14</f>
        <v>19726.207830000003</v>
      </c>
      <c r="I13" s="19">
        <f>(Inputs!C29+Inputs!C30)*12*(1+Inputs!C31)^6*(1-Inputs!C32)*Inputs!F14</f>
        <v>20712.518221500002</v>
      </c>
      <c r="J13" s="19">
        <f>(Inputs!C29+Inputs!C30)*12*(1+Inputs!C31)^7*(1-Inputs!C32)*Inputs!F14</f>
        <v>21748.144132575006</v>
      </c>
      <c r="K13" s="19">
        <f>(Inputs!C29+Inputs!C30)*12*(1+Inputs!C31)^8*(1-Inputs!C32)*Inputs!F14</f>
        <v>22835.551339203754</v>
      </c>
      <c r="L13" s="19">
        <f>(Inputs!C29+Inputs!C30)*12*(1+Inputs!C31)^9*(1-Inputs!C32)*Inputs!F14</f>
        <v>23977.328906163941</v>
      </c>
    </row>
    <row r="14" spans="2:12" ht="16.5" customHeight="1" x14ac:dyDescent="0.25">
      <c r="B14" s="20" t="s">
        <v>77</v>
      </c>
      <c r="C14" s="21">
        <f>Inputs!F10+Inputs!F11+Inputs!F12+(Inputs!C29+Inputs!C30)*12*(1+Inputs!C31)^0*(1-Inputs!C32)*Inputs!F13+(Inputs!C29+Inputs!C30)*12*(1+Inputs!C31)^0*(1-Inputs!C32)*Inputs!F14</f>
        <v>106185.60000000001</v>
      </c>
      <c r="D14" s="21">
        <f>Inputs!F10+Inputs!F11+Inputs!F12+(Inputs!C29+Inputs!C30)*12*(1+Inputs!C31)^1*(1-Inputs!C32)*Inputs!F13+(Inputs!C29+Inputs!C30)*12*(1+Inputs!C31)^1*(1-Inputs!C32)*Inputs!F14</f>
        <v>108194.88</v>
      </c>
      <c r="E14" s="21">
        <f>Inputs!F10+Inputs!F11+Inputs!F12+(Inputs!C29+Inputs!C30)*12*(1+Inputs!C31)^2*(1-Inputs!C32)*Inputs!F13+(Inputs!C29+Inputs!C30)*12*(1+Inputs!C31)^2*(1-Inputs!C32)*Inputs!F14</f>
        <v>110304.624</v>
      </c>
      <c r="F14" s="21">
        <f>Inputs!F10+Inputs!F11+Inputs!F12+(Inputs!C29+Inputs!C30)*12*(1+Inputs!C31)^3*(1-Inputs!C32)*Inputs!F13+(Inputs!C29+Inputs!C30)*12*(1+Inputs!C31)^3*(1-Inputs!C32)*Inputs!F14</f>
        <v>112519.85520000002</v>
      </c>
      <c r="G14" s="21">
        <f>Inputs!F10+Inputs!F11+Inputs!F12+(Inputs!C29+Inputs!C30)*12*(1+Inputs!C31)^4*(1-Inputs!C32)*Inputs!F13+(Inputs!C29+Inputs!C30)*12*(1+Inputs!C31)^4*(1-Inputs!C32)*Inputs!F14</f>
        <v>114845.84796</v>
      </c>
      <c r="H14" s="21">
        <f>Inputs!F10+Inputs!F11+Inputs!F12+(Inputs!C29+Inputs!C30)*12*(1+Inputs!C31)^5*(1-Inputs!C32)*Inputs!F13+(Inputs!C29+Inputs!C30)*12*(1+Inputs!C31)^5*(1-Inputs!C32)*Inputs!F14</f>
        <v>117288.140358</v>
      </c>
      <c r="I14" s="21">
        <f>Inputs!F10+Inputs!F11+Inputs!F12+(Inputs!C29+Inputs!C30)*12*(1+Inputs!C31)^6*(1-Inputs!C32)*Inputs!F13+(Inputs!C29+Inputs!C30)*12*(1+Inputs!C31)^6*(1-Inputs!C32)*Inputs!F14</f>
        <v>119852.5473759</v>
      </c>
      <c r="J14" s="21">
        <f>Inputs!F10+Inputs!F11+Inputs!F12+(Inputs!C29+Inputs!C30)*12*(1+Inputs!C31)^7*(1-Inputs!C32)*Inputs!F13+(Inputs!C29+Inputs!C30)*12*(1+Inputs!C31)^7*(1-Inputs!C32)*Inputs!F14</f>
        <v>122545.174744695</v>
      </c>
      <c r="K14" s="21">
        <f>Inputs!F10+Inputs!F11+Inputs!F12+(Inputs!C29+Inputs!C30)*12*(1+Inputs!C31)^8*(1-Inputs!C32)*Inputs!F13+(Inputs!C29+Inputs!C30)*12*(1+Inputs!C31)^8*(1-Inputs!C32)*Inputs!F14</f>
        <v>125372.43348192977</v>
      </c>
      <c r="L14" s="21">
        <f>Inputs!F10+Inputs!F11+Inputs!F12+(Inputs!C29+Inputs!C30)*12*(1+Inputs!C31)^9*(1-Inputs!C32)*Inputs!F13+(Inputs!C29+Inputs!C30)*12*(1+Inputs!C31)^9*(1-Inputs!C32)*Inputs!F14</f>
        <v>128341.05515602624</v>
      </c>
    </row>
    <row r="15" spans="2:12" ht="6" customHeight="1" x14ac:dyDescent="0.25"/>
    <row r="16" spans="2:12" ht="16.5" customHeight="1" x14ac:dyDescent="0.25">
      <c r="B16" s="22" t="s">
        <v>78</v>
      </c>
      <c r="C16" s="23">
        <f>(Inputs!C29+Inputs!C30)*12*(1+Inputs!C31)^0*(1-Inputs!C32)*(1-Inputs!F13-Inputs!F14)-Inputs!F10-Inputs!F11-Inputs!F12</f>
        <v>202934.40000000002</v>
      </c>
      <c r="D16" s="23">
        <f>(Inputs!C29+Inputs!C30)*12*(1+Inputs!C31)^1*(1-Inputs!C32)*(1-Inputs!F13-Inputs!F14)-Inputs!F10-Inputs!F11-Inputs!F12</f>
        <v>216381.12</v>
      </c>
      <c r="E16" s="23">
        <f>(Inputs!C29+Inputs!C30)*12*(1+Inputs!C31)^2*(1-Inputs!C32)*(1-Inputs!F13-Inputs!F14)-Inputs!F10-Inputs!F11-Inputs!F12</f>
        <v>230500.17599999998</v>
      </c>
      <c r="F16" s="23">
        <f>(Inputs!C29+Inputs!C30)*12*(1+Inputs!C31)^3*(1-Inputs!C32)*(1-Inputs!F13-Inputs!F14)-Inputs!F10-Inputs!F11-Inputs!F12</f>
        <v>245325.1848000001</v>
      </c>
      <c r="G16" s="23">
        <f>(Inputs!C29+Inputs!C30)*12*(1+Inputs!C31)^4*(1-Inputs!C32)*(1-Inputs!F13-Inputs!F14)-Inputs!F10-Inputs!F11-Inputs!F12</f>
        <v>260891.44404000003</v>
      </c>
      <c r="H16" s="23">
        <f>(Inputs!C29+Inputs!C30)*12*(1+Inputs!C31)^5*(1-Inputs!C32)*(1-Inputs!F13-Inputs!F14)-Inputs!F10-Inputs!F11-Inputs!F12</f>
        <v>277236.01624200004</v>
      </c>
      <c r="I16" s="23">
        <f>(Inputs!C29+Inputs!C30)*12*(1+Inputs!C31)^6*(1-Inputs!C32)*(1-Inputs!F13-Inputs!F14)-Inputs!F10-Inputs!F11-Inputs!F12</f>
        <v>294397.81705409999</v>
      </c>
      <c r="J16" s="23">
        <f>(Inputs!C29+Inputs!C30)*12*(1+Inputs!C31)^7*(1-Inputs!C32)*(1-Inputs!F13-Inputs!F14)-Inputs!F10-Inputs!F11-Inputs!F12</f>
        <v>312417.70790680504</v>
      </c>
      <c r="K16" s="23">
        <f>(Inputs!C29+Inputs!C30)*12*(1+Inputs!C31)^8*(1-Inputs!C32)*(1-Inputs!F13-Inputs!F14)-Inputs!F10-Inputs!F11-Inputs!F12</f>
        <v>331338.59330214525</v>
      </c>
      <c r="L16" s="23">
        <f>(Inputs!C29+Inputs!C30)*12*(1+Inputs!C31)^9*(1-Inputs!C32)*(1-Inputs!F13-Inputs!F14)-Inputs!F10-Inputs!F11-Inputs!F12</f>
        <v>351205.52296725253</v>
      </c>
    </row>
    <row r="17" spans="2:12" ht="16.5" customHeight="1" x14ac:dyDescent="0.25">
      <c r="B17" s="18" t="s">
        <v>79</v>
      </c>
      <c r="C17" s="19">
        <f>-Inputs!C25</f>
        <v>-763526.05249775015</v>
      </c>
      <c r="D17" s="19">
        <f>-Inputs!C25</f>
        <v>-763526.05249775015</v>
      </c>
      <c r="E17" s="19">
        <f>-Inputs!C25</f>
        <v>-763526.05249775015</v>
      </c>
      <c r="F17" s="19">
        <f>-Inputs!C25</f>
        <v>-763526.05249775015</v>
      </c>
      <c r="G17" s="19">
        <f>-Inputs!C25</f>
        <v>-763526.05249775015</v>
      </c>
      <c r="H17" s="19">
        <f>-Inputs!C25</f>
        <v>-763526.05249775015</v>
      </c>
      <c r="I17" s="19">
        <f>-Inputs!C25</f>
        <v>-763526.05249775015</v>
      </c>
      <c r="J17" s="19">
        <f>-Inputs!C25</f>
        <v>-763526.05249775015</v>
      </c>
      <c r="K17" s="19">
        <f>-Inputs!C25</f>
        <v>-763526.05249775015</v>
      </c>
      <c r="L17" s="19">
        <f>-Inputs!C25</f>
        <v>-763526.05249775015</v>
      </c>
    </row>
    <row r="18" spans="2:12" ht="16.5" customHeight="1" x14ac:dyDescent="0.25">
      <c r="B18" s="22" t="s">
        <v>80</v>
      </c>
      <c r="C18" s="23">
        <f>(Inputs!C29+Inputs!C30)*12*(1+Inputs!C31)^0*(1-Inputs!C32)*(1-Inputs!F13-Inputs!F14)-Inputs!F10-Inputs!F11-Inputs!F12-Inputs!C25</f>
        <v>-560591.65249775012</v>
      </c>
      <c r="D18" s="23">
        <f>(Inputs!C29+Inputs!C30)*12*(1+Inputs!C31)^1*(1-Inputs!C32)*(1-Inputs!F13-Inputs!F14)-Inputs!F10-Inputs!F11-Inputs!F12-Inputs!C25</f>
        <v>-547144.93249775015</v>
      </c>
      <c r="E18" s="23">
        <f>(Inputs!C29+Inputs!C30)*12*(1+Inputs!C31)^2*(1-Inputs!C32)*(1-Inputs!F13-Inputs!F14)-Inputs!F10-Inputs!F11-Inputs!F12-Inputs!C25</f>
        <v>-533025.87649775017</v>
      </c>
      <c r="F18" s="23">
        <f>(Inputs!C29+Inputs!C30)*12*(1+Inputs!C31)^3*(1-Inputs!C32)*(1-Inputs!F13-Inputs!F14)-Inputs!F10-Inputs!F11-Inputs!F12-Inputs!C25</f>
        <v>-518200.86769775004</v>
      </c>
      <c r="G18" s="23">
        <f>(Inputs!C29+Inputs!C30)*12*(1+Inputs!C31)^4*(1-Inputs!C32)*(1-Inputs!F13-Inputs!F14)-Inputs!F10-Inputs!F11-Inputs!F12-Inputs!C25</f>
        <v>-502634.60845775012</v>
      </c>
      <c r="H18" s="23">
        <f>(Inputs!C29+Inputs!C30)*12*(1+Inputs!C31)^5*(1-Inputs!C32)*(1-Inputs!F13-Inputs!F14)-Inputs!F10-Inputs!F11-Inputs!F12-Inputs!C25</f>
        <v>-486290.03625575011</v>
      </c>
      <c r="I18" s="23">
        <f>(Inputs!C29+Inputs!C30)*12*(1+Inputs!C31)^6*(1-Inputs!C32)*(1-Inputs!F13-Inputs!F14)-Inputs!F10-Inputs!F11-Inputs!F12-Inputs!C25</f>
        <v>-469128.23544365016</v>
      </c>
      <c r="J18" s="23">
        <f>(Inputs!C29+Inputs!C30)*12*(1+Inputs!C31)^7*(1-Inputs!C32)*(1-Inputs!F13-Inputs!F14)-Inputs!F10-Inputs!F11-Inputs!F12-Inputs!C25</f>
        <v>-451108.34459094511</v>
      </c>
      <c r="K18" s="23">
        <f>(Inputs!C29+Inputs!C30)*12*(1+Inputs!C31)^8*(1-Inputs!C32)*(1-Inputs!F13-Inputs!F14)-Inputs!F10-Inputs!F11-Inputs!F12-Inputs!C25</f>
        <v>-432187.4591956049</v>
      </c>
      <c r="L18" s="23">
        <f>(Inputs!C29+Inputs!C30)*12*(1+Inputs!C31)^9*(1-Inputs!C32)*(1-Inputs!F13-Inputs!F14)-Inputs!F10-Inputs!F11-Inputs!F12-Inputs!C25</f>
        <v>-412320.52953049762</v>
      </c>
    </row>
    <row r="19" spans="2:12" ht="6" customHeight="1" x14ac:dyDescent="0.25"/>
    <row r="20" spans="2:12" ht="16.5" customHeight="1" x14ac:dyDescent="0.25">
      <c r="B20" s="24" t="s">
        <v>81</v>
      </c>
      <c r="C20" s="25">
        <f>C18</f>
        <v>-560591.65249775012</v>
      </c>
      <c r="D20" s="25">
        <f t="shared" ref="D20:L20" si="0">C20+D18</f>
        <v>-1107736.5849955003</v>
      </c>
      <c r="E20" s="25">
        <f t="shared" si="0"/>
        <v>-1640762.4614932504</v>
      </c>
      <c r="F20" s="25">
        <f t="shared" si="0"/>
        <v>-2158963.3291910007</v>
      </c>
      <c r="G20" s="25">
        <f t="shared" si="0"/>
        <v>-2661597.9376487508</v>
      </c>
      <c r="H20" s="25">
        <f t="shared" si="0"/>
        <v>-3147887.9739045007</v>
      </c>
      <c r="I20" s="25">
        <f t="shared" si="0"/>
        <v>-3617016.209348151</v>
      </c>
      <c r="J20" s="25">
        <f t="shared" si="0"/>
        <v>-4068124.5539390962</v>
      </c>
      <c r="K20" s="25">
        <f t="shared" si="0"/>
        <v>-4500312.0131347012</v>
      </c>
      <c r="L20" s="25">
        <f t="shared" si="0"/>
        <v>-4912632.5426651984</v>
      </c>
    </row>
  </sheetData>
  <mergeCells count="2">
    <mergeCell ref="B1:L1"/>
    <mergeCell ref="B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25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32" customWidth="1"/>
    <col min="3" max="5" width="16" customWidth="1"/>
    <col min="6" max="6" width="2" customWidth="1"/>
  </cols>
  <sheetData>
    <row r="1" spans="2:5" ht="27.75" customHeight="1" x14ac:dyDescent="0.25">
      <c r="B1" s="3" t="s">
        <v>82</v>
      </c>
      <c r="C1" s="3"/>
      <c r="D1" s="3"/>
      <c r="E1" s="3"/>
    </row>
    <row r="2" spans="2:5" ht="13.5" customHeight="1" x14ac:dyDescent="0.25">
      <c r="B2" s="2" t="s">
        <v>83</v>
      </c>
      <c r="C2" s="2"/>
      <c r="D2" s="2"/>
      <c r="E2" s="2"/>
    </row>
    <row r="4" spans="2:5" ht="19.5" customHeight="1" x14ac:dyDescent="0.25">
      <c r="B4" s="26" t="s">
        <v>84</v>
      </c>
      <c r="C4" s="27" t="s">
        <v>85</v>
      </c>
      <c r="D4" s="28" t="s">
        <v>86</v>
      </c>
      <c r="E4" s="29" t="s">
        <v>87</v>
      </c>
    </row>
    <row r="5" spans="2:5" ht="16.5" customHeight="1" x14ac:dyDescent="0.25">
      <c r="B5" s="6" t="s">
        <v>41</v>
      </c>
      <c r="C5" s="30">
        <v>20000</v>
      </c>
      <c r="D5" s="8">
        <v>28000</v>
      </c>
      <c r="E5" s="31">
        <v>33000</v>
      </c>
    </row>
    <row r="6" spans="2:5" ht="16.5" customHeight="1" x14ac:dyDescent="0.25">
      <c r="B6" s="6" t="s">
        <v>47</v>
      </c>
      <c r="C6" s="32">
        <v>0.15</v>
      </c>
      <c r="D6" s="9">
        <v>0.08</v>
      </c>
      <c r="E6" s="33">
        <v>0.04</v>
      </c>
    </row>
    <row r="7" spans="2:5" ht="16.5" customHeight="1" x14ac:dyDescent="0.25">
      <c r="B7" s="6" t="s">
        <v>88</v>
      </c>
      <c r="C7" s="32">
        <v>0.02</v>
      </c>
      <c r="D7" s="9">
        <v>0.05</v>
      </c>
      <c r="E7" s="33">
        <v>0.08</v>
      </c>
    </row>
    <row r="8" spans="2:5" ht="16.5" customHeight="1" x14ac:dyDescent="0.25">
      <c r="B8" s="6" t="s">
        <v>89</v>
      </c>
      <c r="C8" s="32">
        <v>0.04</v>
      </c>
      <c r="D8" s="9">
        <v>7.0000000000000007E-2</v>
      </c>
      <c r="E8" s="33">
        <v>0.1</v>
      </c>
    </row>
    <row r="9" spans="2:5" ht="16.5" customHeight="1" x14ac:dyDescent="0.25">
      <c r="B9" s="6" t="s">
        <v>90</v>
      </c>
      <c r="C9" s="32">
        <v>9.2499999999999999E-2</v>
      </c>
      <c r="D9" s="9">
        <v>8.7499999999999994E-2</v>
      </c>
      <c r="E9" s="33">
        <v>8.5000000000000006E-2</v>
      </c>
    </row>
    <row r="10" spans="2:5" ht="16.5" customHeight="1" x14ac:dyDescent="0.25">
      <c r="B10" s="6" t="s">
        <v>91</v>
      </c>
      <c r="C10" s="32">
        <v>0.03</v>
      </c>
      <c r="D10" s="9">
        <v>0.02</v>
      </c>
      <c r="E10" s="33">
        <v>1.4999999999999999E-2</v>
      </c>
    </row>
    <row r="11" spans="2:5" ht="16.5" customHeight="1" x14ac:dyDescent="0.25">
      <c r="B11" s="6" t="s">
        <v>42</v>
      </c>
      <c r="C11" s="30">
        <v>10</v>
      </c>
      <c r="D11" s="8">
        <v>10</v>
      </c>
      <c r="E11" s="31">
        <v>10</v>
      </c>
    </row>
    <row r="13" spans="2:5" ht="18" customHeight="1" x14ac:dyDescent="0.25">
      <c r="B13" s="1" t="s">
        <v>92</v>
      </c>
      <c r="C13" s="1"/>
      <c r="D13" s="1"/>
      <c r="E13" s="1"/>
    </row>
    <row r="14" spans="2:5" ht="16.5" customHeight="1" x14ac:dyDescent="0.25">
      <c r="B14" s="20" t="s">
        <v>93</v>
      </c>
      <c r="C14" s="34">
        <f>(C5*12*(1-C6))</f>
        <v>204000</v>
      </c>
      <c r="D14" s="35">
        <f>(D5*12*(1-D6))</f>
        <v>309120</v>
      </c>
      <c r="E14" s="36">
        <f>(E5*12*(1-E6))</f>
        <v>380160</v>
      </c>
    </row>
    <row r="15" spans="2:5" ht="16.5" customHeight="1" x14ac:dyDescent="0.25">
      <c r="B15" s="6" t="s">
        <v>77</v>
      </c>
      <c r="C15" s="37">
        <f>Inputs!F10+Inputs!F11+Inputs!F12+(C5*12*(1-C6))*Inputs!F13+(C5*12*(1-C6))*Inputs!F14</f>
        <v>92520</v>
      </c>
      <c r="D15" s="10">
        <f>Inputs!F10+Inputs!F11+Inputs!F12+(D5*12*(1-D6))*Inputs!F13+(D5*12*(1-D6))*Inputs!F14</f>
        <v>106185.60000000001</v>
      </c>
      <c r="E15" s="38">
        <f>Inputs!F10+Inputs!F11+Inputs!F12+(E5*12*(1-E6))*Inputs!F13+(E5*12*(1-E6))*Inputs!F14</f>
        <v>115420.8</v>
      </c>
    </row>
    <row r="16" spans="2:5" ht="16.5" customHeight="1" x14ac:dyDescent="0.25">
      <c r="B16" s="39" t="s">
        <v>94</v>
      </c>
      <c r="C16" s="36">
        <f>((C5*12*(1-C6))-Inputs!F10-Inputs!F11-Inputs!F12-(C5*12*(1-C6))*Inputs!F13-(C5*12*(1-C6))*Inputs!F14)</f>
        <v>111480</v>
      </c>
      <c r="D16" s="36">
        <f>((D5*12*(1-D6))-Inputs!F10-Inputs!F11-Inputs!F12-(D5*12*(1-D6))*Inputs!F13-(D5*12*(1-D6))*Inputs!F14)</f>
        <v>202934.39999999999</v>
      </c>
      <c r="E16" s="36">
        <f>((E5*12*(1-E6))-Inputs!F10-Inputs!F11-Inputs!F12-(E5*12*(1-E6))*Inputs!F13-(E5*12*(1-E6))*Inputs!F14)</f>
        <v>264739.20000000001</v>
      </c>
    </row>
    <row r="17" spans="2:5" ht="16.5" customHeight="1" x14ac:dyDescent="0.25">
      <c r="B17" s="6" t="s">
        <v>35</v>
      </c>
      <c r="C17" s="37">
        <f>(IFERROR((Inputs!C13*(1-Inputs!C19))*C9/12*(1+C9/12)^(C11*12)/((1+C9/12)^(C11*12)-1),0))*12</f>
        <v>1106202.7178816921</v>
      </c>
      <c r="D17" s="10">
        <f>(IFERROR((Inputs!C13*(1-Inputs!C19))*D9/12*(1+D9/12)^(D11*12)/((1+D9/12)^(D11*12)-1),0))*12</f>
        <v>1082823.1238423125</v>
      </c>
      <c r="E17" s="38">
        <f>(IFERROR((Inputs!C13*(1-Inputs!C19))*E9/12*(1+E9/12)^(E11*12)/((1+E9/12)^(E11*12)-1),0))*12</f>
        <v>1071236.3518757741</v>
      </c>
    </row>
    <row r="18" spans="2:5" ht="16.5" customHeight="1" x14ac:dyDescent="0.25">
      <c r="B18" s="39" t="s">
        <v>80</v>
      </c>
      <c r="C18" s="36">
        <f>(((C5*12*(1-C6))-Inputs!F10-Inputs!F11-Inputs!F12-(C5*12*(1-C6))*Inputs!F13-(C5*12*(1-C6))*Inputs!F14)-(IFERROR((Inputs!C13*(1-Inputs!C19))*C9/12*(1+C9/12)^(C11*12)/((1+C9/12)^(C11*12)-1),0))*12)</f>
        <v>-994722.71788169211</v>
      </c>
      <c r="D18" s="36">
        <f>(((D5*12*(1-D6))-Inputs!F10-Inputs!F11-Inputs!F12-(D5*12*(1-D6))*Inputs!F13-(D5*12*(1-D6))*Inputs!F14)-(IFERROR((Inputs!C13*(1-Inputs!C19))*D9/12*(1+D9/12)^(D11*12)/((1+D9/12)^(D11*12)-1),0))*12)</f>
        <v>-879888.72384231247</v>
      </c>
      <c r="E18" s="36">
        <f>(((E5*12*(1-E6))-Inputs!F10-Inputs!F11-Inputs!F12-(E5*12*(1-E6))*Inputs!F13-(E5*12*(1-E6))*Inputs!F14)-(IFERROR((Inputs!C13*(1-Inputs!C19))*E9/12*(1+E9/12)^(E11*12)/((1+E9/12)^(E11*12)-1),0))*12)</f>
        <v>-806497.15187577414</v>
      </c>
    </row>
    <row r="19" spans="2:5" ht="6" customHeight="1" x14ac:dyDescent="0.25"/>
    <row r="20" spans="2:5" ht="16.5" customHeight="1" x14ac:dyDescent="0.25">
      <c r="B20" s="20" t="s">
        <v>95</v>
      </c>
      <c r="C20" s="40">
        <f>C5*12/Inputs!C13</f>
        <v>2.6666666666666668E-2</v>
      </c>
      <c r="D20" s="41">
        <f>D5*12/Inputs!C13</f>
        <v>3.7333333333333336E-2</v>
      </c>
      <c r="E20" s="42">
        <f>E5*12/Inputs!C13</f>
        <v>4.3999999999999997E-2</v>
      </c>
    </row>
    <row r="21" spans="2:5" ht="16.5" customHeight="1" x14ac:dyDescent="0.25">
      <c r="B21" s="20" t="s">
        <v>30</v>
      </c>
      <c r="C21" s="40">
        <f>((C5*12*(1-C6))-Inputs!F10-Inputs!F11-Inputs!F12-(C5*12*(1-C6))*Inputs!F13-(C5*12*(1-C6))*Inputs!F14)/Inputs!C13</f>
        <v>1.2386666666666667E-2</v>
      </c>
      <c r="D21" s="41">
        <f>((D5*12*(1-D6))-Inputs!F10-Inputs!F11-Inputs!F12-(D5*12*(1-D6))*Inputs!F13-(D5*12*(1-D6))*Inputs!F14)/Inputs!C13</f>
        <v>2.2548266666666667E-2</v>
      </c>
      <c r="E21" s="42">
        <f>((E5*12*(1-E6))-Inputs!F10-Inputs!F11-Inputs!F12-(E5*12*(1-E6))*Inputs!F13-(E5*12*(1-E6))*Inputs!F14)/Inputs!C13</f>
        <v>2.9415466666666668E-2</v>
      </c>
    </row>
    <row r="22" spans="2:5" ht="16.5" customHeight="1" x14ac:dyDescent="0.25">
      <c r="B22" s="20" t="s">
        <v>96</v>
      </c>
      <c r="C22" s="40">
        <f>IF((Inputs!C13*Inputs!C19+Inputs!C13*Inputs!C14+Inputs!C15+Inputs!C23)&gt;0,(((C5*12*(1-C6))-Inputs!F10-Inputs!F11-Inputs!F12-(C5*12*(1-C6))*Inputs!F13-(C5*12*(1-C6))*Inputs!F14)-(IFERROR((Inputs!C13*(1-Inputs!C19))*C9/12*(1+C9/12)^(C11*12)/((1+C9/12)^(C11*12)-1),0))*12)/(Inputs!C13*Inputs!C19+Inputs!C13*Inputs!C14+Inputs!C15+Inputs!C23),0)</f>
        <v>-0.38406282543694675</v>
      </c>
      <c r="D22" s="41">
        <f>IF((Inputs!C13*Inputs!C19+Inputs!C13*Inputs!C14+Inputs!C15+Inputs!C23)&gt;0,(((D5*12*(1-D6))-Inputs!F10-Inputs!F11-Inputs!F12-(D5*12*(1-D6))*Inputs!F13-(D5*12*(1-D6))*Inputs!F14)-(IFERROR((Inputs!C13*(1-Inputs!C19))*D9/12*(1+D9/12)^(D11*12)/((1+D9/12)^(D11*12)-1),0))*12)/(Inputs!C13*Inputs!C19+Inputs!C13*Inputs!C14+Inputs!C15+Inputs!C23),0)</f>
        <v>-0.33972537600089286</v>
      </c>
      <c r="E22" s="42">
        <f>IF((Inputs!C13*Inputs!C19+Inputs!C13*Inputs!C14+Inputs!C15+Inputs!C23)&gt;0,(((E5*12*(1-E6))-Inputs!F10-Inputs!F11-Inputs!F12-(E5*12*(1-E6))*Inputs!F13-(E5*12*(1-E6))*Inputs!F14)-(IFERROR((Inputs!C13*(1-Inputs!C19))*E9/12*(1+E9/12)^(E11*12)/((1+E9/12)^(E11*12)-1),0))*12)/(Inputs!C13*Inputs!C19+Inputs!C13*Inputs!C14+Inputs!C15+Inputs!C23),0)</f>
        <v>-0.3113888617280981</v>
      </c>
    </row>
    <row r="23" spans="2:5" ht="6" customHeight="1" x14ac:dyDescent="0.25"/>
    <row r="24" spans="2:5" ht="16.5" customHeight="1" x14ac:dyDescent="0.25">
      <c r="B24" s="20" t="s">
        <v>50</v>
      </c>
      <c r="C24" s="34">
        <f>(Inputs!C13*(1+C8)^C11)</f>
        <v>13322198.564265102</v>
      </c>
      <c r="D24" s="35">
        <f>(Inputs!C13*(1+D8)^D11)</f>
        <v>17704362.21560609</v>
      </c>
      <c r="E24" s="36">
        <f>(Inputs!C13*(1+E8)^E11)</f>
        <v>23343682.140900016</v>
      </c>
    </row>
    <row r="25" spans="2:5" ht="16.5" customHeight="1" x14ac:dyDescent="0.25">
      <c r="B25" s="20" t="s">
        <v>55</v>
      </c>
      <c r="C25" s="34">
        <f>((Inputs!C13*(1+C8)^C11)*(1-C10)-((Inputs!C13*(1+C8)^C11)-Inputs!C13)*Inputs!F32)</f>
        <v>12058092.894484129</v>
      </c>
      <c r="D25" s="35">
        <f>((Inputs!C13*(1+D8)^D11)*(1-D10)-((Inputs!C13*(1+D8)^D11)-Inputs!C13)*Inputs!F32)</f>
        <v>15609402.52817275</v>
      </c>
      <c r="E25" s="36">
        <f>((Inputs!C13*(1+E8)^E11)*(1-E10)-((Inputs!C13*(1+E8)^E11)-Inputs!C13)*Inputs!F32)</f>
        <v>20124790.480606511</v>
      </c>
    </row>
  </sheetData>
  <mergeCells count="3">
    <mergeCell ref="B1:E1"/>
    <mergeCell ref="B2:E2"/>
    <mergeCell ref="B13:E1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29"/>
  <sheetViews>
    <sheetView showGridLines="0" zoomScaleNormal="100" workbookViewId="0">
      <selection activeCell="D6" sqref="D6"/>
    </sheetView>
  </sheetViews>
  <sheetFormatPr defaultColWidth="8.7109375" defaultRowHeight="15" x14ac:dyDescent="0.25"/>
  <cols>
    <col min="1" max="1" width="2" customWidth="1"/>
    <col min="2" max="2" width="30" customWidth="1"/>
    <col min="3" max="5" width="16" customWidth="1"/>
    <col min="6" max="6" width="2" customWidth="1"/>
  </cols>
  <sheetData>
    <row r="1" spans="2:5" ht="27.75" customHeight="1" x14ac:dyDescent="0.25">
      <c r="B1" s="3" t="s">
        <v>97</v>
      </c>
      <c r="C1" s="3"/>
      <c r="D1" s="3"/>
      <c r="E1" s="3"/>
    </row>
    <row r="2" spans="2:5" ht="13.5" customHeight="1" x14ac:dyDescent="0.25">
      <c r="B2" s="2" t="s">
        <v>98</v>
      </c>
      <c r="C2" s="2"/>
      <c r="D2" s="2"/>
      <c r="E2" s="2"/>
    </row>
    <row r="4" spans="2:5" ht="19.5" customHeight="1" x14ac:dyDescent="0.25">
      <c r="B4" s="26" t="s">
        <v>99</v>
      </c>
      <c r="C4" s="28" t="s">
        <v>100</v>
      </c>
      <c r="D4" s="27" t="s">
        <v>101</v>
      </c>
      <c r="E4" s="29" t="s">
        <v>102</v>
      </c>
    </row>
    <row r="5" spans="2:5" ht="16.5" customHeight="1" x14ac:dyDescent="0.25">
      <c r="B5" s="6" t="s">
        <v>103</v>
      </c>
      <c r="C5" s="7" t="s">
        <v>100</v>
      </c>
      <c r="D5" s="7" t="s">
        <v>101</v>
      </c>
      <c r="E5" s="7" t="s">
        <v>102</v>
      </c>
    </row>
    <row r="6" spans="2:5" ht="16.5" customHeight="1" x14ac:dyDescent="0.25">
      <c r="B6" s="6" t="s">
        <v>13</v>
      </c>
      <c r="C6" s="8">
        <v>9000000</v>
      </c>
      <c r="D6" s="8">
        <v>12000000</v>
      </c>
      <c r="E6" s="8">
        <v>6500000</v>
      </c>
    </row>
    <row r="7" spans="2:5" ht="16.5" customHeight="1" x14ac:dyDescent="0.25">
      <c r="B7" s="6" t="s">
        <v>11</v>
      </c>
      <c r="C7" s="8">
        <v>1200</v>
      </c>
      <c r="D7" s="8">
        <v>1600</v>
      </c>
      <c r="E7" s="8">
        <v>900</v>
      </c>
    </row>
    <row r="8" spans="2:5" ht="16.5" customHeight="1" x14ac:dyDescent="0.25">
      <c r="B8" s="6" t="s">
        <v>41</v>
      </c>
      <c r="C8" s="8">
        <v>28000</v>
      </c>
      <c r="D8" s="8">
        <v>38000</v>
      </c>
      <c r="E8" s="8">
        <v>21000</v>
      </c>
    </row>
    <row r="9" spans="2:5" ht="16.5" customHeight="1" x14ac:dyDescent="0.25">
      <c r="B9" s="6" t="s">
        <v>104</v>
      </c>
      <c r="C9" s="9">
        <v>7.0000000000000007E-2</v>
      </c>
      <c r="D9" s="9">
        <v>6.5000000000000002E-2</v>
      </c>
      <c r="E9" s="9">
        <v>0.08</v>
      </c>
    </row>
    <row r="10" spans="2:5" ht="16.5" customHeight="1" x14ac:dyDescent="0.25">
      <c r="B10" s="6" t="s">
        <v>23</v>
      </c>
      <c r="C10" s="9">
        <v>0.2</v>
      </c>
      <c r="D10" s="9">
        <v>0.2</v>
      </c>
      <c r="E10" s="9">
        <v>0.2</v>
      </c>
    </row>
    <row r="11" spans="2:5" ht="16.5" customHeight="1" x14ac:dyDescent="0.25">
      <c r="B11" s="6" t="s">
        <v>105</v>
      </c>
      <c r="C11" s="9">
        <v>8.7499999999999994E-2</v>
      </c>
      <c r="D11" s="9">
        <v>8.7499999999999994E-2</v>
      </c>
      <c r="E11" s="9">
        <v>8.7499999999999994E-2</v>
      </c>
    </row>
    <row r="12" spans="2:5" ht="16.5" customHeight="1" x14ac:dyDescent="0.25">
      <c r="B12" s="6" t="s">
        <v>42</v>
      </c>
      <c r="C12" s="8">
        <v>10</v>
      </c>
      <c r="D12" s="8">
        <v>10</v>
      </c>
      <c r="E12" s="8">
        <v>10</v>
      </c>
    </row>
    <row r="13" spans="2:5" ht="16.5" customHeight="1" x14ac:dyDescent="0.25">
      <c r="B13" s="6" t="s">
        <v>47</v>
      </c>
      <c r="C13" s="9">
        <v>0.08</v>
      </c>
      <c r="D13" s="9">
        <v>0.08</v>
      </c>
      <c r="E13" s="9">
        <v>0.08</v>
      </c>
    </row>
    <row r="14" spans="2:5" ht="16.5" customHeight="1" x14ac:dyDescent="0.25">
      <c r="B14" s="6" t="s">
        <v>106</v>
      </c>
      <c r="C14" s="8">
        <v>72000</v>
      </c>
      <c r="D14" s="8">
        <v>95000</v>
      </c>
      <c r="E14" s="8">
        <v>55000</v>
      </c>
    </row>
    <row r="16" spans="2:5" ht="18" customHeight="1" x14ac:dyDescent="0.25">
      <c r="B16" s="1" t="s">
        <v>107</v>
      </c>
      <c r="C16" s="1"/>
      <c r="D16" s="1"/>
      <c r="E16" s="1"/>
    </row>
    <row r="17" spans="2:5" ht="16.5" customHeight="1" x14ac:dyDescent="0.25">
      <c r="B17" s="6" t="s">
        <v>93</v>
      </c>
      <c r="C17" s="10">
        <f>(C8*12*(1-C13))</f>
        <v>309120</v>
      </c>
      <c r="D17" s="10">
        <f>(D8*12*(1-D13))</f>
        <v>419520</v>
      </c>
      <c r="E17" s="10">
        <f>(E8*12*(1-E13))</f>
        <v>231840</v>
      </c>
    </row>
    <row r="18" spans="2:5" ht="16.5" customHeight="1" x14ac:dyDescent="0.25">
      <c r="B18" s="6" t="s">
        <v>77</v>
      </c>
      <c r="C18" s="10">
        <f>C14</f>
        <v>72000</v>
      </c>
      <c r="D18" s="10">
        <f>D14</f>
        <v>95000</v>
      </c>
      <c r="E18" s="10">
        <f>E14</f>
        <v>55000</v>
      </c>
    </row>
    <row r="19" spans="2:5" ht="16.5" customHeight="1" x14ac:dyDescent="0.25">
      <c r="B19" s="39" t="s">
        <v>94</v>
      </c>
      <c r="C19" s="36">
        <f>((C8*12*(1-C13))-C14)</f>
        <v>237120</v>
      </c>
      <c r="D19" s="36">
        <f>((D8*12*(1-D13))-D14)</f>
        <v>324520</v>
      </c>
      <c r="E19" s="36">
        <f>((E8*12*(1-E13))-E14)</f>
        <v>176840</v>
      </c>
    </row>
    <row r="20" spans="2:5" ht="16.5" customHeight="1" x14ac:dyDescent="0.25">
      <c r="B20" s="6" t="s">
        <v>35</v>
      </c>
      <c r="C20" s="10">
        <f>IFERROR((C6*(1-C10))*C11/12*(1+C11/12)^(C12*12)/((1+C11/12)^(C12*12)-1)*12,0)</f>
        <v>1082823.1238423125</v>
      </c>
      <c r="D20" s="10">
        <f>IFERROR((D6*(1-D10))*D11/12*(1+D11/12)^(D12*12)/((1+D11/12)^(D12*12)-1)*12,0)</f>
        <v>1443764.1651230834</v>
      </c>
      <c r="E20" s="10">
        <f>IFERROR((E6*(1-E10))*E11/12*(1+E11/12)^(E12*12)/((1+E11/12)^(E12*12)-1)*12,0)</f>
        <v>782038.92277500336</v>
      </c>
    </row>
    <row r="21" spans="2:5" ht="16.5" customHeight="1" x14ac:dyDescent="0.25">
      <c r="B21" s="39" t="s">
        <v>108</v>
      </c>
      <c r="C21" s="36">
        <f>(((C8*12*(1-C13))-C14)-IFERROR((C6*(1-C10))*C11/12*(1+C11/12)^(C12*12)/((1+C11/12)^(C12*12)-1)*12,0))</f>
        <v>-845703.12384231249</v>
      </c>
      <c r="D21" s="36">
        <f>(((D8*12*(1-D13))-D14)-IFERROR((D6*(1-D10))*D11/12*(1+D11/12)^(D12*12)/((1+D11/12)^(D12*12)-1)*12,0))</f>
        <v>-1119244.1651230834</v>
      </c>
      <c r="E21" s="36">
        <f>(((E8*12*(1-E13))-E14)-IFERROR((E6*(1-E10))*E11/12*(1+E11/12)^(E12*12)/((1+E11/12)^(E12*12)-1)*12,0))</f>
        <v>-605198.92277500336</v>
      </c>
    </row>
    <row r="22" spans="2:5" ht="6" customHeight="1" x14ac:dyDescent="0.25"/>
    <row r="23" spans="2:5" ht="16.5" customHeight="1" x14ac:dyDescent="0.25">
      <c r="B23" s="20" t="s">
        <v>95</v>
      </c>
      <c r="C23" s="43">
        <f>C8*12/C6</f>
        <v>3.7333333333333336E-2</v>
      </c>
      <c r="D23" s="43">
        <f>D8*12/D6</f>
        <v>3.7999999999999999E-2</v>
      </c>
      <c r="E23" s="43">
        <f>E8*12/E6</f>
        <v>3.8769230769230771E-2</v>
      </c>
    </row>
    <row r="24" spans="2:5" ht="16.5" customHeight="1" x14ac:dyDescent="0.25">
      <c r="B24" s="20" t="s">
        <v>30</v>
      </c>
      <c r="C24" s="43">
        <f>((C8*12*(1-C13))-C14)/C6</f>
        <v>2.6346666666666668E-2</v>
      </c>
      <c r="D24" s="43">
        <f>((D8*12*(1-D13))-D14)/D6</f>
        <v>2.7043333333333332E-2</v>
      </c>
      <c r="E24" s="43">
        <f>((E8*12*(1-E13))-E14)/E6</f>
        <v>2.7206153846153845E-2</v>
      </c>
    </row>
    <row r="25" spans="2:5" ht="16.5" customHeight="1" x14ac:dyDescent="0.25">
      <c r="B25" s="20" t="s">
        <v>109</v>
      </c>
      <c r="C25" s="43">
        <f>IF((C6*C10)&gt;0,(((C8*12*(1-C13))-C14)-IFERROR((C6*(1-C10))*C11/12*(1+C11/12)^(C12*12)/((1+C11/12)^(C12*12)-1)*12,0))/(C6*C10),0)</f>
        <v>-0.46983506880128473</v>
      </c>
      <c r="D25" s="43">
        <f>IF((D6*D10)&gt;0,(((D8*12*(1-D13))-D14)-IFERROR((D6*(1-D10))*D11/12*(1+D11/12)^(D12*12)/((1+D11/12)^(D12*12)-1)*12,0))/(D6*D10),0)</f>
        <v>-0.46635173546795139</v>
      </c>
      <c r="E25" s="43">
        <f>IF((E6*E10)&gt;0,(((E8*12*(1-E13))-E14)-IFERROR((E6*(1-E10))*E11/12*(1+E11/12)^(E12*12)/((1+E11/12)^(E12*12)-1)*12,0))/(E6*E10),0)</f>
        <v>-0.46553763290384875</v>
      </c>
    </row>
    <row r="26" spans="2:5" ht="16.5" customHeight="1" x14ac:dyDescent="0.25">
      <c r="B26" s="6" t="s">
        <v>38</v>
      </c>
      <c r="C26" s="10">
        <f>IF(C7&gt;0,C6/C7,0)</f>
        <v>7500</v>
      </c>
      <c r="D26" s="10">
        <f>IF(D7&gt;0,D6/D7,0)</f>
        <v>7500</v>
      </c>
      <c r="E26" s="10">
        <f>IF(E7&gt;0,E6/E7,0)</f>
        <v>7222.2222222222226</v>
      </c>
    </row>
    <row r="27" spans="2:5" ht="6" customHeight="1" x14ac:dyDescent="0.25"/>
    <row r="28" spans="2:5" ht="16.5" customHeight="1" x14ac:dyDescent="0.25">
      <c r="B28" s="20" t="s">
        <v>50</v>
      </c>
      <c r="C28" s="44">
        <f>(C6*(1+C9)^C12)</f>
        <v>17704362.21560609</v>
      </c>
      <c r="D28" s="44">
        <f>(D6*(1+D9)^D12)</f>
        <v>22525649.583232302</v>
      </c>
      <c r="E28" s="44">
        <f>(E6*(1+E9)^E12)</f>
        <v>14033012.48227312</v>
      </c>
    </row>
    <row r="29" spans="2:5" ht="16.5" customHeight="1" x14ac:dyDescent="0.25">
      <c r="B29" s="20" t="s">
        <v>55</v>
      </c>
      <c r="C29" s="44">
        <f>(C6*(1+C9)^C12)*0.98-((C6*(1+C9)^C12)-C6)*0.2</f>
        <v>15609402.52817275</v>
      </c>
      <c r="D29" s="44">
        <f>(D6*(1+D9)^D12)*0.98-((D6*(1+D9)^D12)-D6)*0.2</f>
        <v>19970006.674921192</v>
      </c>
      <c r="E29" s="44">
        <f>(E6*(1+E9)^E12)*0.98-((E6*(1+E9)^E12)-E6)*0.2</f>
        <v>12245749.736173034</v>
      </c>
    </row>
  </sheetData>
  <mergeCells count="3">
    <mergeCell ref="B1:E1"/>
    <mergeCell ref="B2:E2"/>
    <mergeCell ref="B16:E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</vt:lpstr>
      <vt:lpstr>Cash Flow</vt:lpstr>
      <vt:lpstr>Scenarios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deepak singh</cp:lastModifiedBy>
  <cp:revision>0</cp:revision>
  <dcterms:created xsi:type="dcterms:W3CDTF">2026-03-14T07:53:38Z</dcterms:created>
  <dcterms:modified xsi:type="dcterms:W3CDTF">2026-03-14T08:05:24Z</dcterms:modified>
  <dc:language>en-US</dc:language>
</cp:coreProperties>
</file>