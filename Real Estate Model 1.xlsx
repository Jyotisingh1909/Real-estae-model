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26F223D-9A17-4A9F-8A2E-4BB8BABA80C8}" xr6:coauthVersionLast="47" xr6:coauthVersionMax="47" xr10:uidLastSave="{00000000-0000-0000-0000-000000000000}"/>
  <bookViews>
    <workbookView xWindow="-120" yWindow="-120" windowWidth="29040" windowHeight="15720" tabRatio="708" activeTab="4" xr2:uid="{ABC40459-BE9F-4F89-B513-88588326A9D3}"/>
  </bookViews>
  <sheets>
    <sheet name="Case Study" sheetId="1" r:id="rId1"/>
    <sheet name="Dashboard" sheetId="4" r:id="rId2"/>
    <sheet name="Monthly Cashflow" sheetId="5" r:id="rId3"/>
    <sheet name="Yearly Cashflow" sheetId="6" r:id="rId4"/>
    <sheet name="Amortization of Loan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4" l="1"/>
  <c r="H8" i="5"/>
  <c r="B13" i="7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12" i="7"/>
  <c r="F30" i="5"/>
  <c r="BP30" i="5" s="1"/>
  <c r="E30" i="5"/>
  <c r="AZ30" i="5" s="1"/>
  <c r="D30" i="5"/>
  <c r="AJ30" i="5" s="1"/>
  <c r="C30" i="5"/>
  <c r="AB30" i="5" s="1"/>
  <c r="B30" i="5"/>
  <c r="L30" i="5" s="1"/>
  <c r="D25" i="5"/>
  <c r="BN25" i="5" s="1"/>
  <c r="D24" i="5"/>
  <c r="BK24" i="5" s="1"/>
  <c r="E1" i="5"/>
  <c r="E7" i="5"/>
  <c r="D7" i="5"/>
  <c r="C7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B9" i="5"/>
  <c r="B10" i="5"/>
  <c r="B11" i="5"/>
  <c r="B12" i="5"/>
  <c r="B13" i="5"/>
  <c r="B8" i="5"/>
  <c r="H2" i="5"/>
  <c r="F11" i="6" l="1"/>
  <c r="D11" i="6"/>
  <c r="G11" i="6"/>
  <c r="H11" i="6"/>
  <c r="E11" i="6"/>
  <c r="BA30" i="5"/>
  <c r="U30" i="5"/>
  <c r="R30" i="5"/>
  <c r="V30" i="5"/>
  <c r="AC30" i="5"/>
  <c r="AD30" i="5"/>
  <c r="N30" i="5"/>
  <c r="Z30" i="5"/>
  <c r="J30" i="5"/>
  <c r="M30" i="5"/>
  <c r="AS30" i="5"/>
  <c r="O30" i="5"/>
  <c r="W30" i="5"/>
  <c r="AE30" i="5"/>
  <c r="AM30" i="5"/>
  <c r="AU30" i="5"/>
  <c r="BC30" i="5"/>
  <c r="BK30" i="5"/>
  <c r="AT30" i="5"/>
  <c r="BB30" i="5"/>
  <c r="H30" i="5"/>
  <c r="P30" i="5"/>
  <c r="X30" i="5"/>
  <c r="AF30" i="5"/>
  <c r="AN30" i="5"/>
  <c r="AV30" i="5"/>
  <c r="BD30" i="5"/>
  <c r="BL30" i="5"/>
  <c r="AL30" i="5"/>
  <c r="BJ30" i="5"/>
  <c r="I30" i="5"/>
  <c r="Q30" i="5"/>
  <c r="Y30" i="5"/>
  <c r="AG30" i="5"/>
  <c r="AO30" i="5"/>
  <c r="AW30" i="5"/>
  <c r="BE30" i="5"/>
  <c r="BM30" i="5"/>
  <c r="AK30" i="5"/>
  <c r="BI30" i="5"/>
  <c r="K30" i="5"/>
  <c r="S30" i="5"/>
  <c r="AA30" i="5"/>
  <c r="AI30" i="5"/>
  <c r="AQ30" i="5"/>
  <c r="AY30" i="5"/>
  <c r="BG30" i="5"/>
  <c r="BO30" i="5"/>
  <c r="AH30" i="5"/>
  <c r="AP30" i="5"/>
  <c r="AX30" i="5"/>
  <c r="BF30" i="5"/>
  <c r="BN30" i="5"/>
  <c r="T30" i="5"/>
  <c r="AR30" i="5"/>
  <c r="BH30" i="5"/>
  <c r="I25" i="5"/>
  <c r="AW25" i="5"/>
  <c r="AC25" i="5"/>
  <c r="BA25" i="5"/>
  <c r="H24" i="5"/>
  <c r="O25" i="5"/>
  <c r="AI25" i="5"/>
  <c r="BC25" i="5"/>
  <c r="AE25" i="5"/>
  <c r="X24" i="5"/>
  <c r="Q25" i="5"/>
  <c r="AJ25" i="5"/>
  <c r="BE25" i="5"/>
  <c r="K25" i="5"/>
  <c r="Y24" i="5"/>
  <c r="S25" i="5"/>
  <c r="AO25" i="5"/>
  <c r="BH25" i="5"/>
  <c r="U25" i="5"/>
  <c r="AQ25" i="5"/>
  <c r="BD24" i="5"/>
  <c r="W25" i="5"/>
  <c r="AR25" i="5"/>
  <c r="BO25" i="5"/>
  <c r="AN24" i="5"/>
  <c r="BI25" i="5"/>
  <c r="BE24" i="5"/>
  <c r="AB25" i="5"/>
  <c r="AU25" i="5"/>
  <c r="BP25" i="5"/>
  <c r="AF24" i="5"/>
  <c r="BL24" i="5"/>
  <c r="AG24" i="5"/>
  <c r="BM24" i="5"/>
  <c r="T25" i="5"/>
  <c r="AG25" i="5"/>
  <c r="AS25" i="5"/>
  <c r="BG25" i="5"/>
  <c r="I24" i="5"/>
  <c r="P24" i="5"/>
  <c r="AV24" i="5"/>
  <c r="L25" i="5"/>
  <c r="Y25" i="5"/>
  <c r="AK25" i="5"/>
  <c r="AY25" i="5"/>
  <c r="BK25" i="5"/>
  <c r="C19" i="5"/>
  <c r="D19" i="5" s="1"/>
  <c r="BM19" i="5" s="1"/>
  <c r="AO24" i="5"/>
  <c r="Q24" i="5"/>
  <c r="AW24" i="5"/>
  <c r="M25" i="5"/>
  <c r="AA25" i="5"/>
  <c r="AM25" i="5"/>
  <c r="AZ25" i="5"/>
  <c r="BM25" i="5"/>
  <c r="C17" i="5"/>
  <c r="D17" i="5" s="1"/>
  <c r="S17" i="5" s="1"/>
  <c r="J24" i="5"/>
  <c r="R24" i="5"/>
  <c r="Z24" i="5"/>
  <c r="AH24" i="5"/>
  <c r="AP24" i="5"/>
  <c r="AX24" i="5"/>
  <c r="BF24" i="5"/>
  <c r="BN24" i="5"/>
  <c r="C20" i="5"/>
  <c r="D20" i="5" s="1"/>
  <c r="AJ20" i="5" s="1"/>
  <c r="K24" i="5"/>
  <c r="S24" i="5"/>
  <c r="AA24" i="5"/>
  <c r="AI24" i="5"/>
  <c r="AQ24" i="5"/>
  <c r="AY24" i="5"/>
  <c r="BG24" i="5"/>
  <c r="BO24" i="5"/>
  <c r="N25" i="5"/>
  <c r="V25" i="5"/>
  <c r="AD25" i="5"/>
  <c r="AL25" i="5"/>
  <c r="AT25" i="5"/>
  <c r="BB25" i="5"/>
  <c r="BJ25" i="5"/>
  <c r="I2" i="5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AU2" i="5" s="1"/>
  <c r="AV2" i="5" s="1"/>
  <c r="AW2" i="5" s="1"/>
  <c r="AX2" i="5" s="1"/>
  <c r="AY2" i="5" s="1"/>
  <c r="AZ2" i="5" s="1"/>
  <c r="BA2" i="5" s="1"/>
  <c r="BB2" i="5" s="1"/>
  <c r="BC2" i="5" s="1"/>
  <c r="BD2" i="5" s="1"/>
  <c r="BE2" i="5" s="1"/>
  <c r="BF2" i="5" s="1"/>
  <c r="BG2" i="5" s="1"/>
  <c r="BH2" i="5" s="1"/>
  <c r="BI2" i="5" s="1"/>
  <c r="BJ2" i="5" s="1"/>
  <c r="BK2" i="5" s="1"/>
  <c r="BL2" i="5" s="1"/>
  <c r="BM2" i="5" s="1"/>
  <c r="BN2" i="5" s="1"/>
  <c r="BO2" i="5" s="1"/>
  <c r="BP2" i="5" s="1"/>
  <c r="L24" i="5"/>
  <c r="T24" i="5"/>
  <c r="E7" i="6" s="1"/>
  <c r="AB24" i="5"/>
  <c r="AJ24" i="5"/>
  <c r="AR24" i="5"/>
  <c r="AZ24" i="5"/>
  <c r="BH24" i="5"/>
  <c r="BP24" i="5"/>
  <c r="M24" i="5"/>
  <c r="U24" i="5"/>
  <c r="AC24" i="5"/>
  <c r="AK24" i="5"/>
  <c r="AS24" i="5"/>
  <c r="BA24" i="5"/>
  <c r="BI24" i="5"/>
  <c r="H25" i="5"/>
  <c r="P25" i="5"/>
  <c r="X25" i="5"/>
  <c r="AF25" i="5"/>
  <c r="AN25" i="5"/>
  <c r="AV25" i="5"/>
  <c r="BD25" i="5"/>
  <c r="BL25" i="5"/>
  <c r="N24" i="5"/>
  <c r="V24" i="5"/>
  <c r="AD24" i="5"/>
  <c r="AL24" i="5"/>
  <c r="AT24" i="5"/>
  <c r="BB24" i="5"/>
  <c r="BJ24" i="5"/>
  <c r="C16" i="5"/>
  <c r="D16" i="5" s="1"/>
  <c r="AN16" i="5" s="1"/>
  <c r="O24" i="5"/>
  <c r="W24" i="5"/>
  <c r="AE24" i="5"/>
  <c r="AM24" i="5"/>
  <c r="AU24" i="5"/>
  <c r="BC24" i="5"/>
  <c r="J25" i="5"/>
  <c r="R25" i="5"/>
  <c r="Z25" i="5"/>
  <c r="AH25" i="5"/>
  <c r="AP25" i="5"/>
  <c r="AX25" i="5"/>
  <c r="BF25" i="5"/>
  <c r="C18" i="5"/>
  <c r="D18" i="5" s="1"/>
  <c r="F8" i="5"/>
  <c r="F10" i="5"/>
  <c r="F9" i="5"/>
  <c r="F12" i="5"/>
  <c r="F11" i="5"/>
  <c r="I8" i="7"/>
  <c r="I6" i="7"/>
  <c r="C13" i="4"/>
  <c r="C5" i="4"/>
  <c r="B17" i="4" l="1"/>
  <c r="D18" i="6"/>
  <c r="B13" i="4"/>
  <c r="B12" i="4"/>
  <c r="F7" i="6"/>
  <c r="AC19" i="5"/>
  <c r="AF19" i="5"/>
  <c r="G7" i="6"/>
  <c r="H7" i="6"/>
  <c r="D7" i="6"/>
  <c r="B19" i="4"/>
  <c r="BM20" i="5"/>
  <c r="W20" i="5"/>
  <c r="BG20" i="5"/>
  <c r="BP20" i="5"/>
  <c r="BP17" i="5"/>
  <c r="AL20" i="5"/>
  <c r="AX19" i="5"/>
  <c r="AN19" i="5"/>
  <c r="BG19" i="5"/>
  <c r="Y19" i="5"/>
  <c r="AL19" i="5"/>
  <c r="AT19" i="5"/>
  <c r="BB19" i="5"/>
  <c r="BP19" i="5"/>
  <c r="AT20" i="5"/>
  <c r="U20" i="5"/>
  <c r="J20" i="5"/>
  <c r="AM20" i="5"/>
  <c r="AC20" i="5"/>
  <c r="AN20" i="5"/>
  <c r="R20" i="5"/>
  <c r="AF20" i="5"/>
  <c r="BD20" i="5"/>
  <c r="BB17" i="5"/>
  <c r="BL20" i="5"/>
  <c r="AE20" i="5"/>
  <c r="BO20" i="5"/>
  <c r="BB20" i="5"/>
  <c r="P20" i="5"/>
  <c r="AN17" i="5"/>
  <c r="AK20" i="5"/>
  <c r="Q20" i="5"/>
  <c r="Z20" i="5"/>
  <c r="AV20" i="5"/>
  <c r="AB20" i="5"/>
  <c r="AS20" i="5"/>
  <c r="AR20" i="5"/>
  <c r="Y20" i="5"/>
  <c r="AX20" i="5"/>
  <c r="K20" i="5"/>
  <c r="N20" i="5"/>
  <c r="AG20" i="5"/>
  <c r="BN20" i="5"/>
  <c r="S20" i="5"/>
  <c r="AZ20" i="5"/>
  <c r="AD20" i="5"/>
  <c r="AO20" i="5"/>
  <c r="O20" i="5"/>
  <c r="AQ20" i="5"/>
  <c r="BH20" i="5"/>
  <c r="BF19" i="5"/>
  <c r="W19" i="5"/>
  <c r="AV19" i="5"/>
  <c r="BN19" i="5"/>
  <c r="AE19" i="5"/>
  <c r="I19" i="5"/>
  <c r="BA20" i="5"/>
  <c r="BJ20" i="5"/>
  <c r="AW20" i="5"/>
  <c r="AH20" i="5"/>
  <c r="BK20" i="5"/>
  <c r="AA20" i="5"/>
  <c r="L20" i="5"/>
  <c r="AY19" i="5"/>
  <c r="AM19" i="5"/>
  <c r="Q19" i="5"/>
  <c r="BI20" i="5"/>
  <c r="BC20" i="5"/>
  <c r="BE20" i="5"/>
  <c r="AP20" i="5"/>
  <c r="H20" i="5"/>
  <c r="AI20" i="5"/>
  <c r="T20" i="5"/>
  <c r="BO19" i="5"/>
  <c r="M19" i="5"/>
  <c r="M20" i="5"/>
  <c r="V20" i="5"/>
  <c r="I20" i="5"/>
  <c r="AU20" i="5"/>
  <c r="BF20" i="5"/>
  <c r="X20" i="5"/>
  <c r="AY20" i="5"/>
  <c r="AA17" i="5"/>
  <c r="Z16" i="5"/>
  <c r="BI16" i="5"/>
  <c r="O16" i="5"/>
  <c r="BD17" i="5"/>
  <c r="AQ17" i="5"/>
  <c r="AQ16" i="5"/>
  <c r="K19" i="5"/>
  <c r="BJ19" i="5"/>
  <c r="AU19" i="5"/>
  <c r="BD19" i="5"/>
  <c r="AG19" i="5"/>
  <c r="AS17" i="5"/>
  <c r="AL17" i="5"/>
  <c r="Z17" i="5"/>
  <c r="BO17" i="5"/>
  <c r="BN16" i="5"/>
  <c r="N16" i="5"/>
  <c r="BC16" i="5"/>
  <c r="R19" i="5"/>
  <c r="S19" i="5"/>
  <c r="U19" i="5"/>
  <c r="T19" i="5"/>
  <c r="BC19" i="5"/>
  <c r="BI19" i="5"/>
  <c r="BL19" i="5"/>
  <c r="AO19" i="5"/>
  <c r="AT17" i="5"/>
  <c r="Q17" i="5"/>
  <c r="AX17" i="5"/>
  <c r="Y16" i="5"/>
  <c r="L16" i="5"/>
  <c r="AL16" i="5"/>
  <c r="AY16" i="5"/>
  <c r="M17" i="5"/>
  <c r="W17" i="5"/>
  <c r="AH16" i="5"/>
  <c r="W16" i="5"/>
  <c r="U17" i="5"/>
  <c r="BC17" i="5"/>
  <c r="AP16" i="5"/>
  <c r="AE16" i="5"/>
  <c r="BL16" i="5"/>
  <c r="J19" i="5"/>
  <c r="AJ19" i="5"/>
  <c r="AK19" i="5"/>
  <c r="Z19" i="5"/>
  <c r="AA19" i="5"/>
  <c r="N19" i="5"/>
  <c r="BH19" i="5"/>
  <c r="BK19" i="5"/>
  <c r="H19" i="5"/>
  <c r="L19" i="5"/>
  <c r="AW19" i="5"/>
  <c r="O17" i="5"/>
  <c r="BF17" i="5"/>
  <c r="AR16" i="5"/>
  <c r="AT16" i="5"/>
  <c r="AH19" i="5"/>
  <c r="AI19" i="5"/>
  <c r="V19" i="5"/>
  <c r="BA19" i="5"/>
  <c r="AB19" i="5"/>
  <c r="P19" i="5"/>
  <c r="AZ19" i="5"/>
  <c r="BE19" i="5"/>
  <c r="T17" i="5"/>
  <c r="AM17" i="5"/>
  <c r="AG17" i="5"/>
  <c r="BN17" i="5"/>
  <c r="AO16" i="5"/>
  <c r="M16" i="5"/>
  <c r="BB16" i="5"/>
  <c r="BP16" i="5"/>
  <c r="AV17" i="5"/>
  <c r="AI17" i="5"/>
  <c r="S16" i="5"/>
  <c r="BD16" i="5"/>
  <c r="L17" i="5"/>
  <c r="Y17" i="5"/>
  <c r="AG16" i="5"/>
  <c r="AJ16" i="5"/>
  <c r="AP19" i="5"/>
  <c r="AQ19" i="5"/>
  <c r="AD19" i="5"/>
  <c r="O19" i="5"/>
  <c r="AR19" i="5"/>
  <c r="X19" i="5"/>
  <c r="AS19" i="5"/>
  <c r="AR17" i="5"/>
  <c r="P17" i="5"/>
  <c r="BE17" i="5"/>
  <c r="AU17" i="5"/>
  <c r="BM16" i="5"/>
  <c r="AK16" i="5"/>
  <c r="BG16" i="5"/>
  <c r="X16" i="5"/>
  <c r="AV16" i="5"/>
  <c r="AB17" i="5"/>
  <c r="AC17" i="5"/>
  <c r="BK17" i="5"/>
  <c r="BL17" i="5"/>
  <c r="AO17" i="5"/>
  <c r="J17" i="5"/>
  <c r="V17" i="5"/>
  <c r="AY17" i="5"/>
  <c r="AW16" i="5"/>
  <c r="AX16" i="5"/>
  <c r="U16" i="5"/>
  <c r="AB16" i="5"/>
  <c r="BJ16" i="5"/>
  <c r="AM16" i="5"/>
  <c r="H16" i="5"/>
  <c r="AJ17" i="5"/>
  <c r="AK17" i="5"/>
  <c r="H17" i="5"/>
  <c r="N17" i="5"/>
  <c r="AW17" i="5"/>
  <c r="R17" i="5"/>
  <c r="BJ17" i="5"/>
  <c r="BG17" i="5"/>
  <c r="BE16" i="5"/>
  <c r="BF16" i="5"/>
  <c r="AC16" i="5"/>
  <c r="BH16" i="5"/>
  <c r="AA16" i="5"/>
  <c r="AU16" i="5"/>
  <c r="P16" i="5"/>
  <c r="AZ17" i="5"/>
  <c r="BA17" i="5"/>
  <c r="X17" i="5"/>
  <c r="AE17" i="5"/>
  <c r="BM17" i="5"/>
  <c r="AH17" i="5"/>
  <c r="K17" i="5"/>
  <c r="I16" i="5"/>
  <c r="J16" i="5"/>
  <c r="AI16" i="5"/>
  <c r="AS16" i="5"/>
  <c r="V16" i="5"/>
  <c r="T16" i="5"/>
  <c r="BK16" i="5"/>
  <c r="AF16" i="5"/>
  <c r="BH17" i="5"/>
  <c r="BI17" i="5"/>
  <c r="AF17" i="5"/>
  <c r="I17" i="5"/>
  <c r="AD17" i="5"/>
  <c r="AP17" i="5"/>
  <c r="Q16" i="5"/>
  <c r="R16" i="5"/>
  <c r="BO16" i="5"/>
  <c r="BA16" i="5"/>
  <c r="AD16" i="5"/>
  <c r="AZ16" i="5"/>
  <c r="K16" i="5"/>
  <c r="BJ18" i="5"/>
  <c r="BB18" i="5"/>
  <c r="AT18" i="5"/>
  <c r="AL18" i="5"/>
  <c r="AD18" i="5"/>
  <c r="V18" i="5"/>
  <c r="N18" i="5"/>
  <c r="BF18" i="5"/>
  <c r="R18" i="5"/>
  <c r="AO18" i="5"/>
  <c r="BI18" i="5"/>
  <c r="BA18" i="5"/>
  <c r="AS18" i="5"/>
  <c r="AK18" i="5"/>
  <c r="AC18" i="5"/>
  <c r="U18" i="5"/>
  <c r="M18" i="5"/>
  <c r="AX18" i="5"/>
  <c r="Z18" i="5"/>
  <c r="BM18" i="5"/>
  <c r="AG18" i="5"/>
  <c r="Q18" i="5"/>
  <c r="BP18" i="5"/>
  <c r="BH18" i="5"/>
  <c r="AZ18" i="5"/>
  <c r="AR18" i="5"/>
  <c r="AJ18" i="5"/>
  <c r="AB18" i="5"/>
  <c r="T18" i="5"/>
  <c r="L18" i="5"/>
  <c r="BN18" i="5"/>
  <c r="AP18" i="5"/>
  <c r="J18" i="5"/>
  <c r="AW18" i="5"/>
  <c r="I18" i="5"/>
  <c r="BO18" i="5"/>
  <c r="BG18" i="5"/>
  <c r="AY18" i="5"/>
  <c r="AQ18" i="5"/>
  <c r="AI18" i="5"/>
  <c r="AA18" i="5"/>
  <c r="S18" i="5"/>
  <c r="K18" i="5"/>
  <c r="AH18" i="5"/>
  <c r="BE18" i="5"/>
  <c r="Y18" i="5"/>
  <c r="BL18" i="5"/>
  <c r="BD18" i="5"/>
  <c r="AV18" i="5"/>
  <c r="AN18" i="5"/>
  <c r="AF18" i="5"/>
  <c r="X18" i="5"/>
  <c r="P18" i="5"/>
  <c r="H18" i="5"/>
  <c r="BK18" i="5"/>
  <c r="BC18" i="5"/>
  <c r="AU18" i="5"/>
  <c r="AM18" i="5"/>
  <c r="AE18" i="5"/>
  <c r="W18" i="5"/>
  <c r="O18" i="5"/>
  <c r="BO9" i="5"/>
  <c r="BG9" i="5"/>
  <c r="AY9" i="5"/>
  <c r="AQ9" i="5"/>
  <c r="AI9" i="5"/>
  <c r="AH9" i="5"/>
  <c r="BM9" i="5"/>
  <c r="BE9" i="5"/>
  <c r="AW9" i="5"/>
  <c r="AO9" i="5"/>
  <c r="AG9" i="5"/>
  <c r="Y9" i="5"/>
  <c r="Q9" i="5"/>
  <c r="I9" i="5"/>
  <c r="BP9" i="5"/>
  <c r="T9" i="5"/>
  <c r="AA9" i="5"/>
  <c r="Z9" i="5"/>
  <c r="BL9" i="5"/>
  <c r="BD9" i="5"/>
  <c r="AV9" i="5"/>
  <c r="AN9" i="5"/>
  <c r="AF9" i="5"/>
  <c r="X9" i="5"/>
  <c r="P9" i="5"/>
  <c r="H9" i="5"/>
  <c r="AZ9" i="5"/>
  <c r="L9" i="5"/>
  <c r="K9" i="5"/>
  <c r="BF9" i="5"/>
  <c r="R9" i="5"/>
  <c r="BK9" i="5"/>
  <c r="BC9" i="5"/>
  <c r="AU9" i="5"/>
  <c r="AM9" i="5"/>
  <c r="AE9" i="5"/>
  <c r="W9" i="5"/>
  <c r="O9" i="5"/>
  <c r="AR9" i="5"/>
  <c r="AX9" i="5"/>
  <c r="BJ9" i="5"/>
  <c r="BB9" i="5"/>
  <c r="AT9" i="5"/>
  <c r="AL9" i="5"/>
  <c r="AD9" i="5"/>
  <c r="V9" i="5"/>
  <c r="N9" i="5"/>
  <c r="AJ9" i="5"/>
  <c r="AP9" i="5"/>
  <c r="BI9" i="5"/>
  <c r="BA9" i="5"/>
  <c r="AS9" i="5"/>
  <c r="AK9" i="5"/>
  <c r="AC9" i="5"/>
  <c r="U9" i="5"/>
  <c r="M9" i="5"/>
  <c r="BH9" i="5"/>
  <c r="AB9" i="5"/>
  <c r="S9" i="5"/>
  <c r="BN9" i="5"/>
  <c r="J9" i="5"/>
  <c r="BJ10" i="5"/>
  <c r="BB10" i="5"/>
  <c r="AT10" i="5"/>
  <c r="AL10" i="5"/>
  <c r="AD10" i="5"/>
  <c r="V10" i="5"/>
  <c r="N10" i="5"/>
  <c r="U10" i="5"/>
  <c r="BP10" i="5"/>
  <c r="BH10" i="5"/>
  <c r="AZ10" i="5"/>
  <c r="AR10" i="5"/>
  <c r="AJ10" i="5"/>
  <c r="AB10" i="5"/>
  <c r="T10" i="5"/>
  <c r="L10" i="5"/>
  <c r="AU10" i="5"/>
  <c r="AC10" i="5"/>
  <c r="BO10" i="5"/>
  <c r="BG10" i="5"/>
  <c r="AY10" i="5"/>
  <c r="AQ10" i="5"/>
  <c r="AI10" i="5"/>
  <c r="AA10" i="5"/>
  <c r="S10" i="5"/>
  <c r="K10" i="5"/>
  <c r="BK10" i="5"/>
  <c r="W10" i="5"/>
  <c r="BI10" i="5"/>
  <c r="BN10" i="5"/>
  <c r="BF10" i="5"/>
  <c r="AX10" i="5"/>
  <c r="AP10" i="5"/>
  <c r="AH10" i="5"/>
  <c r="Z10" i="5"/>
  <c r="R10" i="5"/>
  <c r="J10" i="5"/>
  <c r="AE10" i="5"/>
  <c r="AK10" i="5"/>
  <c r="BM10" i="5"/>
  <c r="BE10" i="5"/>
  <c r="AW10" i="5"/>
  <c r="AO10" i="5"/>
  <c r="AG10" i="5"/>
  <c r="Y10" i="5"/>
  <c r="Q10" i="5"/>
  <c r="I10" i="5"/>
  <c r="BC10" i="5"/>
  <c r="O10" i="5"/>
  <c r="AS10" i="5"/>
  <c r="M10" i="5"/>
  <c r="BL10" i="5"/>
  <c r="BD10" i="5"/>
  <c r="AV10" i="5"/>
  <c r="AN10" i="5"/>
  <c r="AF10" i="5"/>
  <c r="X10" i="5"/>
  <c r="P10" i="5"/>
  <c r="H10" i="5"/>
  <c r="AM10" i="5"/>
  <c r="BA10" i="5"/>
  <c r="BM11" i="5"/>
  <c r="BE11" i="5"/>
  <c r="AW11" i="5"/>
  <c r="AO11" i="5"/>
  <c r="AG11" i="5"/>
  <c r="Y11" i="5"/>
  <c r="Q11" i="5"/>
  <c r="I11" i="5"/>
  <c r="AN11" i="5"/>
  <c r="H11" i="5"/>
  <c r="BK11" i="5"/>
  <c r="BC11" i="5"/>
  <c r="AU11" i="5"/>
  <c r="AM11" i="5"/>
  <c r="AE11" i="5"/>
  <c r="W11" i="5"/>
  <c r="O11" i="5"/>
  <c r="BF11" i="5"/>
  <c r="Z11" i="5"/>
  <c r="AF11" i="5"/>
  <c r="BJ11" i="5"/>
  <c r="BB11" i="5"/>
  <c r="AT11" i="5"/>
  <c r="AL11" i="5"/>
  <c r="AD11" i="5"/>
  <c r="V11" i="5"/>
  <c r="N11" i="5"/>
  <c r="AX11" i="5"/>
  <c r="AV11" i="5"/>
  <c r="BI11" i="5"/>
  <c r="BA11" i="5"/>
  <c r="AS11" i="5"/>
  <c r="AK11" i="5"/>
  <c r="AC11" i="5"/>
  <c r="U11" i="5"/>
  <c r="M11" i="5"/>
  <c r="AH11" i="5"/>
  <c r="J11" i="5"/>
  <c r="X11" i="5"/>
  <c r="BP11" i="5"/>
  <c r="BH11" i="5"/>
  <c r="AZ11" i="5"/>
  <c r="AR11" i="5"/>
  <c r="AJ11" i="5"/>
  <c r="AB11" i="5"/>
  <c r="T11" i="5"/>
  <c r="L11" i="5"/>
  <c r="AP11" i="5"/>
  <c r="BL11" i="5"/>
  <c r="P11" i="5"/>
  <c r="BO11" i="5"/>
  <c r="BG11" i="5"/>
  <c r="AY11" i="5"/>
  <c r="AQ11" i="5"/>
  <c r="AI11" i="5"/>
  <c r="AA11" i="5"/>
  <c r="S11" i="5"/>
  <c r="K11" i="5"/>
  <c r="BN11" i="5"/>
  <c r="R11" i="5"/>
  <c r="BD11" i="5"/>
  <c r="BP12" i="5"/>
  <c r="BH12" i="5"/>
  <c r="AZ12" i="5"/>
  <c r="AR12" i="5"/>
  <c r="AJ12" i="5"/>
  <c r="AB12" i="5"/>
  <c r="T12" i="5"/>
  <c r="L12" i="5"/>
  <c r="AI12" i="5"/>
  <c r="S12" i="5"/>
  <c r="BN12" i="5"/>
  <c r="BF12" i="5"/>
  <c r="AX12" i="5"/>
  <c r="AP12" i="5"/>
  <c r="AH12" i="5"/>
  <c r="Z12" i="5"/>
  <c r="R12" i="5"/>
  <c r="J12" i="5"/>
  <c r="AK12" i="5"/>
  <c r="BG12" i="5"/>
  <c r="BM12" i="5"/>
  <c r="BE12" i="5"/>
  <c r="AW12" i="5"/>
  <c r="AO12" i="5"/>
  <c r="AG12" i="5"/>
  <c r="Y12" i="5"/>
  <c r="Q12" i="5"/>
  <c r="I12" i="5"/>
  <c r="BA12" i="5"/>
  <c r="AC12" i="5"/>
  <c r="BO12" i="5"/>
  <c r="BL12" i="5"/>
  <c r="BD12" i="5"/>
  <c r="AV12" i="5"/>
  <c r="AN12" i="5"/>
  <c r="AF12" i="5"/>
  <c r="X12" i="5"/>
  <c r="P12" i="5"/>
  <c r="H12" i="5"/>
  <c r="BI12" i="5"/>
  <c r="M12" i="5"/>
  <c r="AQ12" i="5"/>
  <c r="K12" i="5"/>
  <c r="BK12" i="5"/>
  <c r="BC12" i="5"/>
  <c r="AU12" i="5"/>
  <c r="AM12" i="5"/>
  <c r="AE12" i="5"/>
  <c r="W12" i="5"/>
  <c r="O12" i="5"/>
  <c r="AS12" i="5"/>
  <c r="U12" i="5"/>
  <c r="AA12" i="5"/>
  <c r="BJ12" i="5"/>
  <c r="BB12" i="5"/>
  <c r="AT12" i="5"/>
  <c r="AL12" i="5"/>
  <c r="AD12" i="5"/>
  <c r="V12" i="5"/>
  <c r="N12" i="5"/>
  <c r="AY12" i="5"/>
  <c r="B38" i="1"/>
  <c r="E33" i="1"/>
  <c r="E34" i="1"/>
  <c r="E35" i="1"/>
  <c r="E36" i="1"/>
  <c r="E32" i="1"/>
  <c r="B53" i="1"/>
  <c r="B14" i="4" l="1"/>
  <c r="E6" i="7"/>
  <c r="B18" i="4"/>
  <c r="B20" i="4"/>
  <c r="D5" i="6"/>
  <c r="D9" i="6" s="1"/>
  <c r="D13" i="6" s="1"/>
  <c r="H27" i="5"/>
  <c r="H32" i="5" s="1"/>
  <c r="H36" i="5" s="1"/>
  <c r="F38" i="1"/>
  <c r="C11" i="7" l="1"/>
  <c r="E11" i="7" s="1"/>
  <c r="I7" i="7"/>
  <c r="D11" i="7" l="1"/>
  <c r="D239" i="7"/>
  <c r="D143" i="7"/>
  <c r="D47" i="7"/>
  <c r="D254" i="7"/>
  <c r="D158" i="7"/>
  <c r="D293" i="7"/>
  <c r="D189" i="7"/>
  <c r="D226" i="7"/>
  <c r="D130" i="7"/>
  <c r="D34" i="7"/>
  <c r="D224" i="7"/>
  <c r="D120" i="7"/>
  <c r="D16" i="7"/>
  <c r="D297" i="7"/>
  <c r="D201" i="7"/>
  <c r="D105" i="7"/>
  <c r="D272" i="7"/>
  <c r="D100" i="7"/>
  <c r="D117" i="7"/>
  <c r="D148" i="7"/>
  <c r="D27" i="7"/>
  <c r="D165" i="7"/>
  <c r="D75" i="7"/>
  <c r="D51" i="7"/>
  <c r="D171" i="7"/>
  <c r="AF34" i="5"/>
  <c r="D231" i="7"/>
  <c r="D135" i="7"/>
  <c r="D39" i="7"/>
  <c r="D246" i="7"/>
  <c r="D150" i="7"/>
  <c r="D285" i="7"/>
  <c r="H15" i="6"/>
  <c r="D218" i="7"/>
  <c r="D122" i="7"/>
  <c r="D26" i="7"/>
  <c r="D216" i="7"/>
  <c r="D112" i="7"/>
  <c r="D134" i="7"/>
  <c r="D289" i="7"/>
  <c r="D193" i="7"/>
  <c r="D97" i="7"/>
  <c r="D200" i="7"/>
  <c r="D77" i="7"/>
  <c r="D99" i="7"/>
  <c r="D43" i="7"/>
  <c r="D291" i="7"/>
  <c r="D83" i="7"/>
  <c r="D52" i="7"/>
  <c r="D292" i="7"/>
  <c r="D107" i="7"/>
  <c r="X34" i="5"/>
  <c r="T34" i="5"/>
  <c r="BI34" i="5"/>
  <c r="AQ34" i="5"/>
  <c r="BN34" i="5"/>
  <c r="D126" i="7"/>
  <c r="D96" i="7"/>
  <c r="D81" i="7"/>
  <c r="D53" i="7"/>
  <c r="D147" i="7"/>
  <c r="D300" i="7"/>
  <c r="D283" i="7"/>
  <c r="AY34" i="5"/>
  <c r="AS34" i="5"/>
  <c r="Y34" i="5"/>
  <c r="D118" i="7"/>
  <c r="D88" i="7"/>
  <c r="D169" i="7"/>
  <c r="D13" i="7"/>
  <c r="D108" i="7"/>
  <c r="D188" i="7"/>
  <c r="BM34" i="5"/>
  <c r="D310" i="7"/>
  <c r="D223" i="7"/>
  <c r="D127" i="7"/>
  <c r="D31" i="7"/>
  <c r="D238" i="7"/>
  <c r="D142" i="7"/>
  <c r="D277" i="7"/>
  <c r="D306" i="7"/>
  <c r="D210" i="7"/>
  <c r="D114" i="7"/>
  <c r="D18" i="7"/>
  <c r="D208" i="7"/>
  <c r="D104" i="7"/>
  <c r="D110" i="7"/>
  <c r="D281" i="7"/>
  <c r="D185" i="7"/>
  <c r="D89" i="7"/>
  <c r="D80" i="7"/>
  <c r="D59" i="7"/>
  <c r="D76" i="7"/>
  <c r="D219" i="7"/>
  <c r="D227" i="7"/>
  <c r="D19" i="7"/>
  <c r="D29" i="7"/>
  <c r="D260" i="7"/>
  <c r="D61" i="7"/>
  <c r="P34" i="5"/>
  <c r="BO34" i="5"/>
  <c r="BA34" i="5"/>
  <c r="AA34" i="5"/>
  <c r="BE34" i="5"/>
  <c r="D23" i="7"/>
  <c r="D273" i="7"/>
  <c r="D36" i="7"/>
  <c r="D149" i="7"/>
  <c r="D299" i="7"/>
  <c r="BK34" i="5"/>
  <c r="D290" i="7"/>
  <c r="D268" i="7"/>
  <c r="AK34" i="5"/>
  <c r="D199" i="7"/>
  <c r="D288" i="7"/>
  <c r="D276" i="7"/>
  <c r="D109" i="7"/>
  <c r="AC34" i="5"/>
  <c r="D95" i="7"/>
  <c r="I34" i="5"/>
  <c r="D215" i="7"/>
  <c r="D119" i="7"/>
  <c r="D230" i="7"/>
  <c r="D269" i="7"/>
  <c r="D298" i="7"/>
  <c r="D202" i="7"/>
  <c r="D106" i="7"/>
  <c r="D304" i="7"/>
  <c r="D192" i="7"/>
  <c r="D94" i="7"/>
  <c r="D177" i="7"/>
  <c r="E15" i="6"/>
  <c r="D203" i="7"/>
  <c r="K34" i="5"/>
  <c r="D98" i="7"/>
  <c r="D35" i="7"/>
  <c r="D155" i="7"/>
  <c r="AI34" i="5"/>
  <c r="D103" i="7"/>
  <c r="D186" i="7"/>
  <c r="D72" i="7"/>
  <c r="D257" i="7"/>
  <c r="D65" i="7"/>
  <c r="D45" i="7"/>
  <c r="D21" i="7"/>
  <c r="D235" i="7"/>
  <c r="AU34" i="5"/>
  <c r="AG34" i="5"/>
  <c r="AW34" i="5"/>
  <c r="D303" i="7"/>
  <c r="D207" i="7"/>
  <c r="D111" i="7"/>
  <c r="D15" i="7"/>
  <c r="D222" i="7"/>
  <c r="D261" i="7"/>
  <c r="D194" i="7"/>
  <c r="D296" i="7"/>
  <c r="D184" i="7"/>
  <c r="D78" i="7"/>
  <c r="D265" i="7"/>
  <c r="D73" i="7"/>
  <c r="D308" i="7"/>
  <c r="D124" i="7"/>
  <c r="D267" i="7"/>
  <c r="BC34" i="5"/>
  <c r="R34" i="5"/>
  <c r="D295" i="7"/>
  <c r="D214" i="7"/>
  <c r="D102" i="7"/>
  <c r="D253" i="7"/>
  <c r="D282" i="7"/>
  <c r="D90" i="7"/>
  <c r="D176" i="7"/>
  <c r="D62" i="7"/>
  <c r="D161" i="7"/>
  <c r="D307" i="7"/>
  <c r="D60" i="7"/>
  <c r="D236" i="7"/>
  <c r="D101" i="7"/>
  <c r="S34" i="5"/>
  <c r="D279" i="7"/>
  <c r="D183" i="7"/>
  <c r="D87" i="7"/>
  <c r="D294" i="7"/>
  <c r="D198" i="7"/>
  <c r="D70" i="7"/>
  <c r="D237" i="7"/>
  <c r="D266" i="7"/>
  <c r="D170" i="7"/>
  <c r="D74" i="7"/>
  <c r="D264" i="7"/>
  <c r="D160" i="7"/>
  <c r="D56" i="7"/>
  <c r="D38" i="7"/>
  <c r="D241" i="7"/>
  <c r="D145" i="7"/>
  <c r="D49" i="7"/>
  <c r="D212" i="7"/>
  <c r="D243" i="7"/>
  <c r="D196" i="7"/>
  <c r="D28" i="7"/>
  <c r="D195" i="7"/>
  <c r="D180" i="7"/>
  <c r="D179" i="7"/>
  <c r="F15" i="6"/>
  <c r="AE34" i="5"/>
  <c r="BB34" i="5"/>
  <c r="M34" i="5"/>
  <c r="J34" i="5"/>
  <c r="D12" i="7"/>
  <c r="D271" i="7"/>
  <c r="D175" i="7"/>
  <c r="D79" i="7"/>
  <c r="D286" i="7"/>
  <c r="D190" i="7"/>
  <c r="D46" i="7"/>
  <c r="D229" i="7"/>
  <c r="D258" i="7"/>
  <c r="D162" i="7"/>
  <c r="D66" i="7"/>
  <c r="D256" i="7"/>
  <c r="D152" i="7"/>
  <c r="D48" i="7"/>
  <c r="D30" i="7"/>
  <c r="D233" i="7"/>
  <c r="D137" i="7"/>
  <c r="D41" i="7"/>
  <c r="D187" i="7"/>
  <c r="D211" i="7"/>
  <c r="D131" i="7"/>
  <c r="D228" i="7"/>
  <c r="D125" i="7"/>
  <c r="D157" i="7"/>
  <c r="D156" i="7"/>
  <c r="D172" i="7"/>
  <c r="BL34" i="5"/>
  <c r="W34" i="5"/>
  <c r="AT34" i="5"/>
  <c r="BH34" i="5"/>
  <c r="AO34" i="5"/>
  <c r="D263" i="7"/>
  <c r="D167" i="7"/>
  <c r="D71" i="7"/>
  <c r="D278" i="7"/>
  <c r="D182" i="7"/>
  <c r="D14" i="7"/>
  <c r="D221" i="7"/>
  <c r="D250" i="7"/>
  <c r="D154" i="7"/>
  <c r="D58" i="7"/>
  <c r="D248" i="7"/>
  <c r="D144" i="7"/>
  <c r="D40" i="7"/>
  <c r="D22" i="7"/>
  <c r="D225" i="7"/>
  <c r="D129" i="7"/>
  <c r="D33" i="7"/>
  <c r="D164" i="7"/>
  <c r="D181" i="7"/>
  <c r="D85" i="7"/>
  <c r="D173" i="7"/>
  <c r="D84" i="7"/>
  <c r="D139" i="7"/>
  <c r="D133" i="7"/>
  <c r="D302" i="7"/>
  <c r="D274" i="7"/>
  <c r="D168" i="7"/>
  <c r="D153" i="7"/>
  <c r="D259" i="7"/>
  <c r="L34" i="5"/>
  <c r="D270" i="7"/>
  <c r="D242" i="7"/>
  <c r="D136" i="7"/>
  <c r="D121" i="7"/>
  <c r="D44" i="7"/>
  <c r="D92" i="7"/>
  <c r="BP34" i="5"/>
  <c r="BG34" i="5"/>
  <c r="D262" i="7"/>
  <c r="D234" i="7"/>
  <c r="D128" i="7"/>
  <c r="D113" i="7"/>
  <c r="G15" i="6"/>
  <c r="D69" i="7"/>
  <c r="AZ34" i="5"/>
  <c r="AP34" i="5"/>
  <c r="D206" i="7"/>
  <c r="D178" i="7"/>
  <c r="D64" i="7"/>
  <c r="D57" i="7"/>
  <c r="D115" i="7"/>
  <c r="D68" i="7"/>
  <c r="AJ34" i="5"/>
  <c r="AH34" i="5"/>
  <c r="D32" i="7"/>
  <c r="BJ34" i="5"/>
  <c r="D255" i="7"/>
  <c r="D138" i="7"/>
  <c r="D24" i="7"/>
  <c r="D91" i="7"/>
  <c r="AL34" i="5"/>
  <c r="D247" i="7"/>
  <c r="D82" i="7"/>
  <c r="D54" i="7"/>
  <c r="D252" i="7"/>
  <c r="AD34" i="5"/>
  <c r="D191" i="7"/>
  <c r="D50" i="7"/>
  <c r="D15" i="6"/>
  <c r="D17" i="6" s="1"/>
  <c r="V34" i="5"/>
  <c r="D159" i="7"/>
  <c r="D42" i="7"/>
  <c r="D123" i="7"/>
  <c r="BD34" i="5"/>
  <c r="D151" i="7"/>
  <c r="D280" i="7"/>
  <c r="D249" i="7"/>
  <c r="D275" i="7"/>
  <c r="AV34" i="5"/>
  <c r="D93" i="7"/>
  <c r="D287" i="7"/>
  <c r="D174" i="7"/>
  <c r="D146" i="7"/>
  <c r="D25" i="7"/>
  <c r="D132" i="7"/>
  <c r="D67" i="7"/>
  <c r="BF34" i="5"/>
  <c r="D166" i="7"/>
  <c r="D17" i="7"/>
  <c r="D284" i="7"/>
  <c r="Z34" i="5"/>
  <c r="D86" i="7"/>
  <c r="D244" i="7"/>
  <c r="D220" i="7"/>
  <c r="AX34" i="5"/>
  <c r="D309" i="7"/>
  <c r="D141" i="7"/>
  <c r="D20" i="7"/>
  <c r="D37" i="7"/>
  <c r="Q34" i="5"/>
  <c r="D301" i="7"/>
  <c r="D305" i="7"/>
  <c r="D251" i="7"/>
  <c r="N34" i="5"/>
  <c r="D245" i="7"/>
  <c r="D205" i="7"/>
  <c r="U34" i="5"/>
  <c r="D63" i="7"/>
  <c r="D213" i="7"/>
  <c r="D240" i="7"/>
  <c r="D217" i="7"/>
  <c r="D163" i="7"/>
  <c r="D116" i="7"/>
  <c r="AN34" i="5"/>
  <c r="AR34" i="5"/>
  <c r="D55" i="7"/>
  <c r="D197" i="7"/>
  <c r="D232" i="7"/>
  <c r="D209" i="7"/>
  <c r="D140" i="7"/>
  <c r="AM34" i="5"/>
  <c r="AB34" i="5"/>
  <c r="D204" i="7"/>
  <c r="O34" i="5"/>
  <c r="D20" i="6" l="1"/>
  <c r="H11" i="7"/>
  <c r="F11" i="7"/>
  <c r="G11" i="7" l="1"/>
  <c r="C12" i="7" s="1"/>
  <c r="E12" i="7" s="1"/>
  <c r="I11" i="7"/>
  <c r="G12" i="7" l="1"/>
  <c r="C13" i="7" s="1"/>
  <c r="E13" i="7" s="1"/>
  <c r="F12" i="7"/>
  <c r="I12" i="7" s="1"/>
  <c r="H12" i="7"/>
  <c r="AG8" i="5"/>
  <c r="AG27" i="5" s="1"/>
  <c r="AG32" i="5" s="1"/>
  <c r="AG36" i="5" s="1"/>
  <c r="J8" i="5"/>
  <c r="J27" i="5" s="1"/>
  <c r="J32" i="5" s="1"/>
  <c r="J36" i="5" s="1"/>
  <c r="AM8" i="5"/>
  <c r="AM27" i="5" s="1"/>
  <c r="AM32" i="5" s="1"/>
  <c r="AM36" i="5" s="1"/>
  <c r="BB8" i="5"/>
  <c r="BB27" i="5" s="1"/>
  <c r="BB32" i="5" s="1"/>
  <c r="BB36" i="5" s="1"/>
  <c r="AX8" i="5"/>
  <c r="AX27" i="5" s="1"/>
  <c r="AX32" i="5" s="1"/>
  <c r="AX36" i="5" s="1"/>
  <c r="M8" i="5"/>
  <c r="M27" i="5" s="1"/>
  <c r="M32" i="5" s="1"/>
  <c r="M36" i="5" s="1"/>
  <c r="BJ8" i="5"/>
  <c r="BJ27" i="5" s="1"/>
  <c r="BJ32" i="5" s="1"/>
  <c r="BJ36" i="5" s="1"/>
  <c r="Y8" i="5"/>
  <c r="Y27" i="5" s="1"/>
  <c r="Y32" i="5" s="1"/>
  <c r="Y36" i="5" s="1"/>
  <c r="BL8" i="5"/>
  <c r="BL27" i="5" s="1"/>
  <c r="BL32" i="5" s="1"/>
  <c r="BL36" i="5" s="1"/>
  <c r="BH8" i="5"/>
  <c r="BH27" i="5" s="1"/>
  <c r="BH32" i="5" s="1"/>
  <c r="BH36" i="5" s="1"/>
  <c r="AE8" i="5"/>
  <c r="AE27" i="5" s="1"/>
  <c r="AE32" i="5" s="1"/>
  <c r="AE36" i="5" s="1"/>
  <c r="AT8" i="5"/>
  <c r="AT27" i="5" s="1"/>
  <c r="AT32" i="5" s="1"/>
  <c r="AT36" i="5" s="1"/>
  <c r="R8" i="5"/>
  <c r="R27" i="5" s="1"/>
  <c r="R32" i="5" s="1"/>
  <c r="R36" i="5" s="1"/>
  <c r="AZ8" i="5"/>
  <c r="AZ27" i="5" s="1"/>
  <c r="AZ32" i="5" s="1"/>
  <c r="AZ36" i="5" s="1"/>
  <c r="BN8" i="5"/>
  <c r="BN27" i="5" s="1"/>
  <c r="BN32" i="5" s="1"/>
  <c r="BN36" i="5" s="1"/>
  <c r="P8" i="5"/>
  <c r="P27" i="5" s="1"/>
  <c r="P32" i="5" s="1"/>
  <c r="P36" i="5" s="1"/>
  <c r="Q8" i="5"/>
  <c r="Q27" i="5" s="1"/>
  <c r="Q32" i="5" s="1"/>
  <c r="Q36" i="5" s="1"/>
  <c r="BD8" i="5"/>
  <c r="L8" i="5"/>
  <c r="L27" i="5" s="1"/>
  <c r="L32" i="5" s="1"/>
  <c r="L36" i="5" s="1"/>
  <c r="W8" i="5"/>
  <c r="W27" i="5" s="1"/>
  <c r="W32" i="5" s="1"/>
  <c r="W36" i="5" s="1"/>
  <c r="AL8" i="5"/>
  <c r="AL27" i="5" s="1"/>
  <c r="AL32" i="5" s="1"/>
  <c r="AL36" i="5" s="1"/>
  <c r="BI8" i="5"/>
  <c r="BI27" i="5" s="1"/>
  <c r="BI32" i="5" s="1"/>
  <c r="BI36" i="5" s="1"/>
  <c r="T8" i="5"/>
  <c r="I8" i="5"/>
  <c r="I27" i="5" s="1"/>
  <c r="I32" i="5" s="1"/>
  <c r="I36" i="5" s="1"/>
  <c r="AV8" i="5"/>
  <c r="AV27" i="5" s="1"/>
  <c r="AV32" i="5" s="1"/>
  <c r="AV36" i="5" s="1"/>
  <c r="S8" i="5"/>
  <c r="S27" i="5" s="1"/>
  <c r="S32" i="5" s="1"/>
  <c r="S36" i="5" s="1"/>
  <c r="O8" i="5"/>
  <c r="O27" i="5" s="1"/>
  <c r="O32" i="5" s="1"/>
  <c r="O36" i="5" s="1"/>
  <c r="AD8" i="5"/>
  <c r="AD27" i="5" s="1"/>
  <c r="AD32" i="5" s="1"/>
  <c r="AD36" i="5" s="1"/>
  <c r="BA8" i="5"/>
  <c r="BA27" i="5" s="1"/>
  <c r="BA32" i="5" s="1"/>
  <c r="BA36" i="5" s="1"/>
  <c r="AQ8" i="5"/>
  <c r="AQ27" i="5" s="1"/>
  <c r="AQ32" i="5" s="1"/>
  <c r="AQ36" i="5" s="1"/>
  <c r="BM8" i="5"/>
  <c r="BM27" i="5" s="1"/>
  <c r="BM32" i="5" s="1"/>
  <c r="BM36" i="5" s="1"/>
  <c r="BP8" i="5"/>
  <c r="BP27" i="5" s="1"/>
  <c r="BP32" i="5" s="1"/>
  <c r="BP36" i="5" s="1"/>
  <c r="AN8" i="5"/>
  <c r="AN27" i="5" s="1"/>
  <c r="AN32" i="5" s="1"/>
  <c r="AN36" i="5" s="1"/>
  <c r="AH8" i="5"/>
  <c r="AH27" i="5" s="1"/>
  <c r="AH32" i="5" s="1"/>
  <c r="AH36" i="5" s="1"/>
  <c r="AR8" i="5"/>
  <c r="V8" i="5"/>
  <c r="V27" i="5" s="1"/>
  <c r="V32" i="5" s="1"/>
  <c r="V36" i="5" s="1"/>
  <c r="AS8" i="5"/>
  <c r="AS27" i="5" s="1"/>
  <c r="AS32" i="5" s="1"/>
  <c r="AS36" i="5" s="1"/>
  <c r="K8" i="5"/>
  <c r="K27" i="5" s="1"/>
  <c r="K32" i="5" s="1"/>
  <c r="K36" i="5" s="1"/>
  <c r="BE8" i="5"/>
  <c r="BE27" i="5" s="1"/>
  <c r="BE32" i="5" s="1"/>
  <c r="BE36" i="5" s="1"/>
  <c r="AB8" i="5"/>
  <c r="AB27" i="5" s="1"/>
  <c r="AB32" i="5" s="1"/>
  <c r="AB36" i="5" s="1"/>
  <c r="AF8" i="5"/>
  <c r="BK8" i="5"/>
  <c r="BK27" i="5" s="1"/>
  <c r="BK32" i="5" s="1"/>
  <c r="BK36" i="5" s="1"/>
  <c r="AA8" i="5"/>
  <c r="AA27" i="5" s="1"/>
  <c r="AA32" i="5" s="1"/>
  <c r="AA36" i="5" s="1"/>
  <c r="N8" i="5"/>
  <c r="N27" i="5" s="1"/>
  <c r="N32" i="5" s="1"/>
  <c r="N36" i="5" s="1"/>
  <c r="AK8" i="5"/>
  <c r="AK27" i="5" s="1"/>
  <c r="AK32" i="5" s="1"/>
  <c r="AK36" i="5" s="1"/>
  <c r="Z8" i="5"/>
  <c r="Z27" i="5" s="1"/>
  <c r="Z32" i="5" s="1"/>
  <c r="Z36" i="5" s="1"/>
  <c r="AW8" i="5"/>
  <c r="AW27" i="5" s="1"/>
  <c r="AW32" i="5" s="1"/>
  <c r="AW36" i="5" s="1"/>
  <c r="AY8" i="5"/>
  <c r="AY27" i="5" s="1"/>
  <c r="AY32" i="5" s="1"/>
  <c r="AY36" i="5" s="1"/>
  <c r="X8" i="5"/>
  <c r="X27" i="5" s="1"/>
  <c r="X32" i="5" s="1"/>
  <c r="X36" i="5" s="1"/>
  <c r="BC8" i="5"/>
  <c r="BC27" i="5" s="1"/>
  <c r="BC32" i="5" s="1"/>
  <c r="BC36" i="5" s="1"/>
  <c r="AP8" i="5"/>
  <c r="AP27" i="5" s="1"/>
  <c r="AP32" i="5" s="1"/>
  <c r="AP36" i="5" s="1"/>
  <c r="AJ8" i="5"/>
  <c r="AJ27" i="5" s="1"/>
  <c r="AJ32" i="5" s="1"/>
  <c r="AJ36" i="5" s="1"/>
  <c r="AC8" i="5"/>
  <c r="AC27" i="5" s="1"/>
  <c r="AC32" i="5" s="1"/>
  <c r="AC36" i="5" s="1"/>
  <c r="BO8" i="5"/>
  <c r="BO27" i="5" s="1"/>
  <c r="BO32" i="5" s="1"/>
  <c r="BO36" i="5" s="1"/>
  <c r="AO8" i="5"/>
  <c r="AO27" i="5" s="1"/>
  <c r="AO32" i="5" s="1"/>
  <c r="AO36" i="5" s="1"/>
  <c r="BF8" i="5"/>
  <c r="BF27" i="5" s="1"/>
  <c r="BF32" i="5" s="1"/>
  <c r="BF36" i="5" s="1"/>
  <c r="AU8" i="5"/>
  <c r="AU27" i="5" s="1"/>
  <c r="AU32" i="5" s="1"/>
  <c r="AU36" i="5" s="1"/>
  <c r="AI8" i="5"/>
  <c r="AI27" i="5" s="1"/>
  <c r="AI32" i="5" s="1"/>
  <c r="AI36" i="5" s="1"/>
  <c r="U8" i="5"/>
  <c r="U27" i="5" s="1"/>
  <c r="U32" i="5" s="1"/>
  <c r="U36" i="5" s="1"/>
  <c r="BG8" i="5"/>
  <c r="BG27" i="5" s="1"/>
  <c r="BG32" i="5" s="1"/>
  <c r="BG36" i="5" s="1"/>
  <c r="BD27" i="5" l="1"/>
  <c r="BD32" i="5" s="1"/>
  <c r="BD36" i="5" s="1"/>
  <c r="H5" i="6"/>
  <c r="H9" i="6" s="1"/>
  <c r="T27" i="5"/>
  <c r="T32" i="5" s="1"/>
  <c r="T36" i="5" s="1"/>
  <c r="E5" i="6"/>
  <c r="E9" i="6" s="1"/>
  <c r="E13" i="6" s="1"/>
  <c r="AR27" i="5"/>
  <c r="AR32" i="5" s="1"/>
  <c r="AR36" i="5" s="1"/>
  <c r="G5" i="6"/>
  <c r="G9" i="6" s="1"/>
  <c r="G13" i="6" s="1"/>
  <c r="G17" i="6" s="1"/>
  <c r="G20" i="6" s="1"/>
  <c r="AF27" i="5"/>
  <c r="AF32" i="5" s="1"/>
  <c r="AF36" i="5" s="1"/>
  <c r="F5" i="6"/>
  <c r="F9" i="6" s="1"/>
  <c r="F13" i="6" s="1"/>
  <c r="F17" i="6" s="1"/>
  <c r="F20" i="6" s="1"/>
  <c r="H13" i="7"/>
  <c r="F13" i="7"/>
  <c r="E17" i="6" l="1"/>
  <c r="H13" i="6"/>
  <c r="H18" i="6"/>
  <c r="H11" i="4" s="1"/>
  <c r="I13" i="7"/>
  <c r="G13" i="7"/>
  <c r="C14" i="7" s="1"/>
  <c r="H17" i="6" l="1"/>
  <c r="C7" i="4"/>
  <c r="H20" i="6"/>
  <c r="E20" i="6"/>
  <c r="H12" i="4" s="1"/>
  <c r="E14" i="7"/>
  <c r="H14" i="4" l="1"/>
  <c r="C8" i="4"/>
  <c r="H13" i="4"/>
  <c r="H14" i="7"/>
  <c r="F14" i="7"/>
  <c r="I14" i="7" l="1"/>
  <c r="G14" i="7"/>
  <c r="C15" i="7" s="1"/>
  <c r="E15" i="7" l="1"/>
  <c r="H15" i="7" l="1"/>
  <c r="F15" i="7"/>
  <c r="I15" i="7" l="1"/>
  <c r="G15" i="7"/>
  <c r="C16" i="7" s="1"/>
  <c r="E16" i="7" l="1"/>
  <c r="H16" i="7" l="1"/>
  <c r="F16" i="7"/>
  <c r="I16" i="7" l="1"/>
  <c r="G16" i="7"/>
  <c r="C17" i="7" s="1"/>
  <c r="E17" i="7" l="1"/>
  <c r="H17" i="7" l="1"/>
  <c r="F17" i="7"/>
  <c r="I17" i="7" l="1"/>
  <c r="G17" i="7"/>
  <c r="C18" i="7" s="1"/>
  <c r="E18" i="7" l="1"/>
  <c r="F18" i="7" l="1"/>
  <c r="H18" i="7"/>
  <c r="I18" i="7" l="1"/>
  <c r="G18" i="7"/>
  <c r="C19" i="7" s="1"/>
  <c r="E19" i="7" l="1"/>
  <c r="H19" i="7" l="1"/>
  <c r="F19" i="7"/>
  <c r="I19" i="7" l="1"/>
  <c r="G19" i="7"/>
  <c r="C20" i="7" s="1"/>
  <c r="E20" i="7" l="1"/>
  <c r="H20" i="7" l="1"/>
  <c r="F20" i="7"/>
  <c r="I20" i="7" l="1"/>
  <c r="G20" i="7"/>
  <c r="C21" i="7" s="1"/>
  <c r="E21" i="7" l="1"/>
  <c r="H21" i="7" l="1"/>
  <c r="F21" i="7"/>
  <c r="I21" i="7" l="1"/>
  <c r="G21" i="7"/>
  <c r="C22" i="7" s="1"/>
  <c r="E22" i="7" l="1"/>
  <c r="F22" i="7" l="1"/>
  <c r="H22" i="7"/>
  <c r="I22" i="7" l="1"/>
  <c r="G22" i="7"/>
  <c r="C23" i="7" s="1"/>
  <c r="E23" i="7" l="1"/>
  <c r="H23" i="7" l="1"/>
  <c r="F23" i="7"/>
  <c r="I23" i="7" l="1"/>
  <c r="G23" i="7"/>
  <c r="C24" i="7" s="1"/>
  <c r="E24" i="7" l="1"/>
  <c r="H24" i="7" l="1"/>
  <c r="F24" i="7"/>
  <c r="I24" i="7" l="1"/>
  <c r="G24" i="7"/>
  <c r="C25" i="7" s="1"/>
  <c r="E25" i="7" l="1"/>
  <c r="H25" i="7" l="1"/>
  <c r="F25" i="7"/>
  <c r="I25" i="7" l="1"/>
  <c r="G25" i="7"/>
  <c r="C26" i="7" s="1"/>
  <c r="E26" i="7" l="1"/>
  <c r="F26" i="7" l="1"/>
  <c r="H26" i="7"/>
  <c r="I26" i="7" l="1"/>
  <c r="G26" i="7"/>
  <c r="C27" i="7" s="1"/>
  <c r="E27" i="7" l="1"/>
  <c r="H27" i="7" l="1"/>
  <c r="F27" i="7"/>
  <c r="I27" i="7" l="1"/>
  <c r="G27" i="7"/>
  <c r="C28" i="7" s="1"/>
  <c r="E28" i="7" l="1"/>
  <c r="H28" i="7" l="1"/>
  <c r="F28" i="7"/>
  <c r="I28" i="7" l="1"/>
  <c r="G28" i="7"/>
  <c r="C29" i="7" s="1"/>
  <c r="E29" i="7" l="1"/>
  <c r="H29" i="7" l="1"/>
  <c r="F29" i="7"/>
  <c r="I29" i="7" l="1"/>
  <c r="G29" i="7"/>
  <c r="C30" i="7" s="1"/>
  <c r="E30" i="7" l="1"/>
  <c r="F30" i="7" l="1"/>
  <c r="H30" i="7"/>
  <c r="I30" i="7" l="1"/>
  <c r="G30" i="7"/>
  <c r="C31" i="7" s="1"/>
  <c r="E31" i="7" l="1"/>
  <c r="H31" i="7" l="1"/>
  <c r="F31" i="7"/>
  <c r="I31" i="7" l="1"/>
  <c r="G31" i="7"/>
  <c r="C32" i="7" s="1"/>
  <c r="E32" i="7" l="1"/>
  <c r="H32" i="7" l="1"/>
  <c r="F32" i="7"/>
  <c r="I32" i="7" l="1"/>
  <c r="G32" i="7"/>
  <c r="C33" i="7" s="1"/>
  <c r="E33" i="7" l="1"/>
  <c r="F33" i="7" l="1"/>
  <c r="H33" i="7"/>
  <c r="I33" i="7" l="1"/>
  <c r="G33" i="7"/>
  <c r="C34" i="7" s="1"/>
  <c r="E34" i="7" l="1"/>
  <c r="H34" i="7" l="1"/>
  <c r="F34" i="7"/>
  <c r="I34" i="7" l="1"/>
  <c r="G34" i="7"/>
  <c r="C35" i="7" s="1"/>
  <c r="E35" i="7" l="1"/>
  <c r="H35" i="7" l="1"/>
  <c r="F35" i="7"/>
  <c r="I35" i="7" l="1"/>
  <c r="G35" i="7"/>
  <c r="C36" i="7" s="1"/>
  <c r="E36" i="7" l="1"/>
  <c r="H36" i="7" l="1"/>
  <c r="F36" i="7"/>
  <c r="I36" i="7" l="1"/>
  <c r="G36" i="7"/>
  <c r="C37" i="7" s="1"/>
  <c r="E37" i="7" l="1"/>
  <c r="F37" i="7" l="1"/>
  <c r="H37" i="7"/>
  <c r="I37" i="7" l="1"/>
  <c r="G37" i="7"/>
  <c r="C38" i="7" s="1"/>
  <c r="E38" i="7" l="1"/>
  <c r="H38" i="7" l="1"/>
  <c r="F38" i="7"/>
  <c r="I38" i="7" l="1"/>
  <c r="G38" i="7"/>
  <c r="C39" i="7" s="1"/>
  <c r="E39" i="7" l="1"/>
  <c r="F39" i="7" l="1"/>
  <c r="H39" i="7"/>
  <c r="I39" i="7" l="1"/>
  <c r="G39" i="7"/>
  <c r="C40" i="7" s="1"/>
  <c r="E40" i="7" l="1"/>
  <c r="H40" i="7" l="1"/>
  <c r="F40" i="7"/>
  <c r="I40" i="7" l="1"/>
  <c r="G40" i="7"/>
  <c r="C41" i="7" s="1"/>
  <c r="E41" i="7" l="1"/>
  <c r="H41" i="7" l="1"/>
  <c r="F41" i="7"/>
  <c r="I41" i="7" l="1"/>
  <c r="G41" i="7"/>
  <c r="C42" i="7" s="1"/>
  <c r="E42" i="7" l="1"/>
  <c r="H42" i="7" l="1"/>
  <c r="F42" i="7"/>
  <c r="I42" i="7" l="1"/>
  <c r="G42" i="7"/>
  <c r="C43" i="7" s="1"/>
  <c r="E43" i="7" l="1"/>
  <c r="H43" i="7" l="1"/>
  <c r="F43" i="7"/>
  <c r="I43" i="7" l="1"/>
  <c r="G43" i="7"/>
  <c r="C44" i="7" s="1"/>
  <c r="E44" i="7" l="1"/>
  <c r="H44" i="7" l="1"/>
  <c r="F44" i="7"/>
  <c r="I44" i="7" l="1"/>
  <c r="G44" i="7"/>
  <c r="C45" i="7" s="1"/>
  <c r="E45" i="7" l="1"/>
  <c r="H45" i="7" l="1"/>
  <c r="F45" i="7"/>
  <c r="I45" i="7" l="1"/>
  <c r="G45" i="7"/>
  <c r="C46" i="7" s="1"/>
  <c r="E46" i="7" l="1"/>
  <c r="H46" i="7" l="1"/>
  <c r="F46" i="7"/>
  <c r="I46" i="7" l="1"/>
  <c r="G46" i="7"/>
  <c r="C47" i="7" s="1"/>
  <c r="E47" i="7" l="1"/>
  <c r="H47" i="7" l="1"/>
  <c r="F47" i="7"/>
  <c r="I47" i="7" l="1"/>
  <c r="G47" i="7"/>
  <c r="C48" i="7" s="1"/>
  <c r="E48" i="7" l="1"/>
  <c r="F48" i="7" l="1"/>
  <c r="H48" i="7"/>
  <c r="I48" i="7" l="1"/>
  <c r="G48" i="7"/>
  <c r="C49" i="7" s="1"/>
  <c r="E49" i="7" l="1"/>
  <c r="H49" i="7" l="1"/>
  <c r="F49" i="7"/>
  <c r="I49" i="7" l="1"/>
  <c r="G49" i="7"/>
  <c r="C50" i="7" s="1"/>
  <c r="E50" i="7" l="1"/>
  <c r="H50" i="7" l="1"/>
  <c r="F50" i="7"/>
  <c r="I50" i="7" l="1"/>
  <c r="G50" i="7"/>
  <c r="C51" i="7" s="1"/>
  <c r="E51" i="7" l="1"/>
  <c r="H51" i="7" l="1"/>
  <c r="F51" i="7"/>
  <c r="I51" i="7" l="1"/>
  <c r="G51" i="7"/>
  <c r="C52" i="7" s="1"/>
  <c r="E52" i="7" l="1"/>
  <c r="H52" i="7" l="1"/>
  <c r="F52" i="7"/>
  <c r="I52" i="7" l="1"/>
  <c r="G52" i="7"/>
  <c r="C53" i="7" s="1"/>
  <c r="E53" i="7" l="1"/>
  <c r="H53" i="7" l="1"/>
  <c r="F53" i="7"/>
  <c r="I53" i="7" l="1"/>
  <c r="G53" i="7"/>
  <c r="C54" i="7" s="1"/>
  <c r="E54" i="7" l="1"/>
  <c r="H54" i="7" l="1"/>
  <c r="F54" i="7"/>
  <c r="I54" i="7" l="1"/>
  <c r="G54" i="7"/>
  <c r="C55" i="7" s="1"/>
  <c r="E55" i="7" l="1"/>
  <c r="H55" i="7" l="1"/>
  <c r="F55" i="7"/>
  <c r="I55" i="7" l="1"/>
  <c r="G55" i="7"/>
  <c r="C56" i="7" s="1"/>
  <c r="E56" i="7" l="1"/>
  <c r="H56" i="7" l="1"/>
  <c r="F56" i="7"/>
  <c r="I56" i="7" l="1"/>
  <c r="G56" i="7"/>
  <c r="C57" i="7" s="1"/>
  <c r="E57" i="7" l="1"/>
  <c r="F57" i="7" l="1"/>
  <c r="H57" i="7"/>
  <c r="I57" i="7" l="1"/>
  <c r="G57" i="7"/>
  <c r="C58" i="7" s="1"/>
  <c r="E58" i="7" l="1"/>
  <c r="H58" i="7" l="1"/>
  <c r="F58" i="7"/>
  <c r="I58" i="7" l="1"/>
  <c r="G58" i="7"/>
  <c r="C59" i="7" s="1"/>
  <c r="E59" i="7" l="1"/>
  <c r="H59" i="7" l="1"/>
  <c r="F59" i="7"/>
  <c r="I59" i="7" l="1"/>
  <c r="G59" i="7"/>
  <c r="C60" i="7" s="1"/>
  <c r="E60" i="7" l="1"/>
  <c r="H60" i="7" l="1"/>
  <c r="F60" i="7"/>
  <c r="I60" i="7" l="1"/>
  <c r="G60" i="7"/>
  <c r="C61" i="7" s="1"/>
  <c r="E61" i="7" l="1"/>
  <c r="H61" i="7" l="1"/>
  <c r="F61" i="7"/>
  <c r="I61" i="7" l="1"/>
  <c r="G61" i="7"/>
  <c r="C62" i="7" s="1"/>
  <c r="E62" i="7" l="1"/>
  <c r="F62" i="7" l="1"/>
  <c r="H62" i="7"/>
  <c r="I62" i="7" l="1"/>
  <c r="G62" i="7"/>
  <c r="C63" i="7" s="1"/>
  <c r="E63" i="7" l="1"/>
  <c r="H63" i="7" l="1"/>
  <c r="F63" i="7"/>
  <c r="I63" i="7" l="1"/>
  <c r="G63" i="7"/>
  <c r="C64" i="7" s="1"/>
  <c r="E64" i="7" l="1"/>
  <c r="H64" i="7" l="1"/>
  <c r="F64" i="7"/>
  <c r="I64" i="7" l="1"/>
  <c r="G64" i="7"/>
  <c r="C65" i="7" s="1"/>
  <c r="E65" i="7" l="1"/>
  <c r="H65" i="7" l="1"/>
  <c r="F65" i="7"/>
  <c r="I65" i="7" l="1"/>
  <c r="G65" i="7"/>
  <c r="C66" i="7" s="1"/>
  <c r="E66" i="7" l="1"/>
  <c r="F66" i="7" l="1"/>
  <c r="H66" i="7"/>
  <c r="I66" i="7" l="1"/>
  <c r="G66" i="7"/>
  <c r="C67" i="7" s="1"/>
  <c r="E67" i="7" l="1"/>
  <c r="F67" i="7" l="1"/>
  <c r="H67" i="7"/>
  <c r="I67" i="7" l="1"/>
  <c r="G67" i="7"/>
  <c r="C68" i="7" s="1"/>
  <c r="E68" i="7" l="1"/>
  <c r="H68" i="7" l="1"/>
  <c r="F68" i="7"/>
  <c r="I68" i="7" l="1"/>
  <c r="G68" i="7"/>
  <c r="C69" i="7" s="1"/>
  <c r="E69" i="7" l="1"/>
  <c r="H69" i="7" l="1"/>
  <c r="F69" i="7"/>
  <c r="I69" i="7" l="1"/>
  <c r="G69" i="7"/>
  <c r="C70" i="7" s="1"/>
  <c r="E70" i="7" l="1"/>
  <c r="H70" i="7" l="1"/>
  <c r="F70" i="7"/>
  <c r="I70" i="7" l="1"/>
  <c r="G70" i="7"/>
  <c r="C71" i="7" s="1"/>
  <c r="E71" i="7" l="1"/>
  <c r="H71" i="7" l="1"/>
  <c r="F71" i="7"/>
  <c r="I71" i="7" l="1"/>
  <c r="G71" i="7"/>
  <c r="C72" i="7" s="1"/>
  <c r="E72" i="7" l="1"/>
  <c r="H72" i="7" l="1"/>
  <c r="F72" i="7"/>
  <c r="I72" i="7" l="1"/>
  <c r="G72" i="7"/>
  <c r="C73" i="7" s="1"/>
  <c r="E73" i="7" l="1"/>
  <c r="H73" i="7" l="1"/>
  <c r="F73" i="7"/>
  <c r="I73" i="7" l="1"/>
  <c r="G73" i="7"/>
  <c r="C74" i="7" s="1"/>
  <c r="E74" i="7" l="1"/>
  <c r="H74" i="7" l="1"/>
  <c r="F74" i="7"/>
  <c r="I74" i="7" l="1"/>
  <c r="G74" i="7"/>
  <c r="C75" i="7" s="1"/>
  <c r="E75" i="7" l="1"/>
  <c r="H75" i="7" l="1"/>
  <c r="F75" i="7"/>
  <c r="I75" i="7" l="1"/>
  <c r="G75" i="7"/>
  <c r="C76" i="7" s="1"/>
  <c r="E76" i="7" l="1"/>
  <c r="H76" i="7" l="1"/>
  <c r="F76" i="7"/>
  <c r="I76" i="7" l="1"/>
  <c r="G76" i="7"/>
  <c r="C77" i="7" s="1"/>
  <c r="E77" i="7" l="1"/>
  <c r="H77" i="7" l="1"/>
  <c r="F77" i="7"/>
  <c r="I77" i="7" l="1"/>
  <c r="G77" i="7"/>
  <c r="C78" i="7" s="1"/>
  <c r="E78" i="7" l="1"/>
  <c r="H78" i="7" l="1"/>
  <c r="F78" i="7"/>
  <c r="I78" i="7" l="1"/>
  <c r="G78" i="7"/>
  <c r="C79" i="7" s="1"/>
  <c r="E79" i="7" l="1"/>
  <c r="H79" i="7" l="1"/>
  <c r="F79" i="7"/>
  <c r="I79" i="7" l="1"/>
  <c r="G79" i="7"/>
  <c r="C80" i="7" s="1"/>
  <c r="E80" i="7" l="1"/>
  <c r="H80" i="7" l="1"/>
  <c r="F80" i="7"/>
  <c r="I80" i="7" l="1"/>
  <c r="G80" i="7"/>
  <c r="C81" i="7" s="1"/>
  <c r="E81" i="7" l="1"/>
  <c r="H81" i="7" l="1"/>
  <c r="F81" i="7"/>
  <c r="I81" i="7" l="1"/>
  <c r="G81" i="7"/>
  <c r="C82" i="7" s="1"/>
  <c r="E82" i="7" l="1"/>
  <c r="H82" i="7" l="1"/>
  <c r="F82" i="7"/>
  <c r="I82" i="7" l="1"/>
  <c r="G82" i="7"/>
  <c r="C83" i="7" s="1"/>
  <c r="E83" i="7" l="1"/>
  <c r="H83" i="7" l="1"/>
  <c r="F83" i="7"/>
  <c r="I83" i="7" l="1"/>
  <c r="G83" i="7"/>
  <c r="C84" i="7" s="1"/>
  <c r="E84" i="7" l="1"/>
  <c r="H84" i="7" l="1"/>
  <c r="F84" i="7"/>
  <c r="I84" i="7" l="1"/>
  <c r="G84" i="7"/>
  <c r="C85" i="7" s="1"/>
  <c r="E85" i="7" l="1"/>
  <c r="H85" i="7" l="1"/>
  <c r="F85" i="7"/>
  <c r="I85" i="7" l="1"/>
  <c r="G85" i="7"/>
  <c r="C86" i="7" s="1"/>
  <c r="E86" i="7" l="1"/>
  <c r="H86" i="7" l="1"/>
  <c r="F86" i="7"/>
  <c r="I86" i="7" l="1"/>
  <c r="G86" i="7"/>
  <c r="C87" i="7" s="1"/>
  <c r="E87" i="7" l="1"/>
  <c r="H87" i="7" l="1"/>
  <c r="F87" i="7"/>
  <c r="I87" i="7" l="1"/>
  <c r="G87" i="7"/>
  <c r="C88" i="7" s="1"/>
  <c r="E88" i="7" l="1"/>
  <c r="H88" i="7" l="1"/>
  <c r="F88" i="7"/>
  <c r="I88" i="7" l="1"/>
  <c r="G88" i="7"/>
  <c r="C89" i="7" s="1"/>
  <c r="E89" i="7" l="1"/>
  <c r="H89" i="7" l="1"/>
  <c r="F89" i="7"/>
  <c r="I89" i="7" l="1"/>
  <c r="G89" i="7"/>
  <c r="C90" i="7" s="1"/>
  <c r="E90" i="7" l="1"/>
  <c r="H90" i="7" l="1"/>
  <c r="F90" i="7"/>
  <c r="I90" i="7" l="1"/>
  <c r="G90" i="7"/>
  <c r="C91" i="7" s="1"/>
  <c r="E91" i="7" l="1"/>
  <c r="H91" i="7" l="1"/>
  <c r="F91" i="7"/>
  <c r="I91" i="7" l="1"/>
  <c r="G91" i="7"/>
  <c r="C92" i="7" s="1"/>
  <c r="E92" i="7" l="1"/>
  <c r="H92" i="7" l="1"/>
  <c r="F92" i="7"/>
  <c r="I92" i="7" l="1"/>
  <c r="G92" i="7"/>
  <c r="C93" i="7" s="1"/>
  <c r="E93" i="7" l="1"/>
  <c r="H93" i="7" l="1"/>
  <c r="F93" i="7"/>
  <c r="I93" i="7" l="1"/>
  <c r="G93" i="7"/>
  <c r="C94" i="7" s="1"/>
  <c r="E94" i="7" l="1"/>
  <c r="H94" i="7" l="1"/>
  <c r="F94" i="7"/>
  <c r="I94" i="7" l="1"/>
  <c r="G94" i="7"/>
  <c r="C95" i="7" s="1"/>
  <c r="E95" i="7" l="1"/>
  <c r="H95" i="7" l="1"/>
  <c r="F95" i="7"/>
  <c r="I95" i="7" l="1"/>
  <c r="G95" i="7"/>
  <c r="C96" i="7" s="1"/>
  <c r="E96" i="7" l="1"/>
  <c r="H96" i="7" l="1"/>
  <c r="F96" i="7"/>
  <c r="I96" i="7" l="1"/>
  <c r="G96" i="7"/>
  <c r="C97" i="7" s="1"/>
  <c r="E97" i="7" l="1"/>
  <c r="H97" i="7" l="1"/>
  <c r="F97" i="7"/>
  <c r="I97" i="7" l="1"/>
  <c r="G97" i="7"/>
  <c r="C98" i="7" s="1"/>
  <c r="E98" i="7" l="1"/>
  <c r="H98" i="7" l="1"/>
  <c r="F98" i="7"/>
  <c r="I98" i="7" l="1"/>
  <c r="G98" i="7"/>
  <c r="C99" i="7" s="1"/>
  <c r="E99" i="7" l="1"/>
  <c r="F99" i="7" l="1"/>
  <c r="H99" i="7"/>
  <c r="I99" i="7" l="1"/>
  <c r="G99" i="7"/>
  <c r="C100" i="7" s="1"/>
  <c r="E100" i="7" l="1"/>
  <c r="H100" i="7" l="1"/>
  <c r="F100" i="7"/>
  <c r="I100" i="7" l="1"/>
  <c r="G100" i="7"/>
  <c r="C101" i="7" s="1"/>
  <c r="E101" i="7" l="1"/>
  <c r="H101" i="7" l="1"/>
  <c r="F101" i="7"/>
  <c r="I101" i="7" l="1"/>
  <c r="G101" i="7"/>
  <c r="C102" i="7" s="1"/>
  <c r="E102" i="7" l="1"/>
  <c r="H102" i="7" l="1"/>
  <c r="F102" i="7"/>
  <c r="I102" i="7" l="1"/>
  <c r="G102" i="7"/>
  <c r="C103" i="7" s="1"/>
  <c r="E103" i="7" l="1"/>
  <c r="H103" i="7" l="1"/>
  <c r="F103" i="7"/>
  <c r="I103" i="7" l="1"/>
  <c r="G103" i="7"/>
  <c r="C104" i="7" s="1"/>
  <c r="E104" i="7" l="1"/>
  <c r="H104" i="7" l="1"/>
  <c r="F104" i="7"/>
  <c r="I104" i="7" l="1"/>
  <c r="G104" i="7"/>
  <c r="C105" i="7" s="1"/>
  <c r="E105" i="7" l="1"/>
  <c r="H105" i="7" l="1"/>
  <c r="F105" i="7"/>
  <c r="I105" i="7" l="1"/>
  <c r="G105" i="7"/>
  <c r="C106" i="7" s="1"/>
  <c r="E106" i="7" l="1"/>
  <c r="H106" i="7" l="1"/>
  <c r="F106" i="7"/>
  <c r="I106" i="7" l="1"/>
  <c r="G106" i="7"/>
  <c r="C107" i="7" s="1"/>
  <c r="E107" i="7" l="1"/>
  <c r="H107" i="7" l="1"/>
  <c r="F107" i="7"/>
  <c r="I107" i="7" l="1"/>
  <c r="G107" i="7"/>
  <c r="C108" i="7" s="1"/>
  <c r="E108" i="7" l="1"/>
  <c r="H108" i="7" l="1"/>
  <c r="F108" i="7"/>
  <c r="I108" i="7" l="1"/>
  <c r="G108" i="7"/>
  <c r="C109" i="7" s="1"/>
  <c r="E109" i="7" l="1"/>
  <c r="H109" i="7" l="1"/>
  <c r="F109" i="7"/>
  <c r="I109" i="7" l="1"/>
  <c r="G109" i="7"/>
  <c r="C110" i="7" s="1"/>
  <c r="E110" i="7" l="1"/>
  <c r="H110" i="7" l="1"/>
  <c r="F110" i="7"/>
  <c r="I110" i="7" l="1"/>
  <c r="G110" i="7"/>
  <c r="C111" i="7" s="1"/>
  <c r="E111" i="7" l="1"/>
  <c r="H111" i="7" l="1"/>
  <c r="F111" i="7"/>
  <c r="I111" i="7" l="1"/>
  <c r="G111" i="7"/>
  <c r="C112" i="7" s="1"/>
  <c r="E112" i="7" l="1"/>
  <c r="H112" i="7" l="1"/>
  <c r="F112" i="7"/>
  <c r="I112" i="7" l="1"/>
  <c r="G112" i="7"/>
  <c r="C113" i="7" s="1"/>
  <c r="E113" i="7" l="1"/>
  <c r="H113" i="7" l="1"/>
  <c r="F113" i="7"/>
  <c r="I113" i="7" l="1"/>
  <c r="G113" i="7"/>
  <c r="C114" i="7" s="1"/>
  <c r="E114" i="7" l="1"/>
  <c r="H114" i="7" l="1"/>
  <c r="F114" i="7"/>
  <c r="I114" i="7" l="1"/>
  <c r="G114" i="7"/>
  <c r="C115" i="7" s="1"/>
  <c r="E115" i="7" l="1"/>
  <c r="H115" i="7" l="1"/>
  <c r="F115" i="7"/>
  <c r="I115" i="7" l="1"/>
  <c r="G115" i="7"/>
  <c r="C116" i="7" s="1"/>
  <c r="E116" i="7" l="1"/>
  <c r="H116" i="7" l="1"/>
  <c r="F116" i="7"/>
  <c r="I116" i="7" l="1"/>
  <c r="G116" i="7"/>
  <c r="C117" i="7" s="1"/>
  <c r="E117" i="7" l="1"/>
  <c r="H117" i="7" l="1"/>
  <c r="F117" i="7"/>
  <c r="I117" i="7" l="1"/>
  <c r="G117" i="7"/>
  <c r="C118" i="7" s="1"/>
  <c r="E118" i="7" l="1"/>
  <c r="H118" i="7" l="1"/>
  <c r="F118" i="7"/>
  <c r="I118" i="7" l="1"/>
  <c r="G118" i="7"/>
  <c r="C119" i="7" s="1"/>
  <c r="E119" i="7" l="1"/>
  <c r="H119" i="7" l="1"/>
  <c r="F119" i="7"/>
  <c r="I119" i="7" l="1"/>
  <c r="G119" i="7"/>
  <c r="C120" i="7" s="1"/>
  <c r="E120" i="7" l="1"/>
  <c r="H120" i="7" l="1"/>
  <c r="F120" i="7"/>
  <c r="I120" i="7" l="1"/>
  <c r="G120" i="7"/>
  <c r="C121" i="7" s="1"/>
  <c r="E121" i="7" l="1"/>
  <c r="H121" i="7" l="1"/>
  <c r="F121" i="7"/>
  <c r="I121" i="7" l="1"/>
  <c r="G121" i="7"/>
  <c r="C122" i="7" s="1"/>
  <c r="E122" i="7" l="1"/>
  <c r="H122" i="7" l="1"/>
  <c r="F122" i="7"/>
  <c r="I122" i="7" l="1"/>
  <c r="G122" i="7"/>
  <c r="C123" i="7" s="1"/>
  <c r="E123" i="7" l="1"/>
  <c r="H123" i="7" l="1"/>
  <c r="F123" i="7"/>
  <c r="I123" i="7" l="1"/>
  <c r="G123" i="7"/>
  <c r="C124" i="7" s="1"/>
  <c r="E124" i="7" l="1"/>
  <c r="H124" i="7" l="1"/>
  <c r="F124" i="7"/>
  <c r="I124" i="7" l="1"/>
  <c r="G124" i="7"/>
  <c r="C125" i="7" s="1"/>
  <c r="E125" i="7" l="1"/>
  <c r="H125" i="7" l="1"/>
  <c r="F125" i="7"/>
  <c r="I125" i="7" l="1"/>
  <c r="G125" i="7"/>
  <c r="C126" i="7" s="1"/>
  <c r="E126" i="7" l="1"/>
  <c r="H126" i="7" l="1"/>
  <c r="F126" i="7"/>
  <c r="I126" i="7" l="1"/>
  <c r="G126" i="7"/>
  <c r="C127" i="7" s="1"/>
  <c r="E127" i="7" l="1"/>
  <c r="H127" i="7" l="1"/>
  <c r="F127" i="7"/>
  <c r="I127" i="7" l="1"/>
  <c r="G127" i="7"/>
  <c r="C128" i="7" s="1"/>
  <c r="E128" i="7" l="1"/>
  <c r="H128" i="7" l="1"/>
  <c r="F128" i="7"/>
  <c r="I128" i="7" l="1"/>
  <c r="G128" i="7"/>
  <c r="C129" i="7" s="1"/>
  <c r="E129" i="7" l="1"/>
  <c r="H129" i="7" l="1"/>
  <c r="F129" i="7"/>
  <c r="I129" i="7" l="1"/>
  <c r="G129" i="7"/>
  <c r="C130" i="7" s="1"/>
  <c r="E130" i="7" l="1"/>
  <c r="H130" i="7" l="1"/>
  <c r="F130" i="7"/>
  <c r="I130" i="7" l="1"/>
  <c r="G130" i="7"/>
  <c r="C131" i="7" s="1"/>
  <c r="E131" i="7" l="1"/>
  <c r="H131" i="7" l="1"/>
  <c r="F131" i="7"/>
  <c r="I131" i="7" l="1"/>
  <c r="G131" i="7"/>
  <c r="C132" i="7" s="1"/>
  <c r="E132" i="7" l="1"/>
  <c r="H132" i="7" l="1"/>
  <c r="F132" i="7"/>
  <c r="I132" i="7" l="1"/>
  <c r="G132" i="7"/>
  <c r="C133" i="7" s="1"/>
  <c r="E133" i="7" l="1"/>
  <c r="H133" i="7" l="1"/>
  <c r="F133" i="7"/>
  <c r="I133" i="7" l="1"/>
  <c r="G133" i="7"/>
  <c r="C134" i="7" s="1"/>
  <c r="E134" i="7" l="1"/>
  <c r="H134" i="7" l="1"/>
  <c r="F134" i="7"/>
  <c r="I134" i="7" l="1"/>
  <c r="G134" i="7"/>
  <c r="C135" i="7" s="1"/>
  <c r="E135" i="7" l="1"/>
  <c r="H135" i="7" l="1"/>
  <c r="F135" i="7"/>
  <c r="I135" i="7" l="1"/>
  <c r="G135" i="7"/>
  <c r="C136" i="7" s="1"/>
  <c r="E136" i="7" l="1"/>
  <c r="H136" i="7" l="1"/>
  <c r="F136" i="7"/>
  <c r="I136" i="7" l="1"/>
  <c r="G136" i="7"/>
  <c r="C137" i="7" s="1"/>
  <c r="E137" i="7" l="1"/>
  <c r="H137" i="7" l="1"/>
  <c r="F137" i="7"/>
  <c r="I137" i="7" l="1"/>
  <c r="G137" i="7"/>
  <c r="C138" i="7" s="1"/>
  <c r="E138" i="7" l="1"/>
  <c r="H138" i="7" l="1"/>
  <c r="F138" i="7"/>
  <c r="I138" i="7" l="1"/>
  <c r="G138" i="7"/>
  <c r="C139" i="7" s="1"/>
  <c r="E139" i="7" l="1"/>
  <c r="H139" i="7" l="1"/>
  <c r="F139" i="7"/>
  <c r="I139" i="7" l="1"/>
  <c r="G139" i="7"/>
  <c r="C140" i="7" s="1"/>
  <c r="E140" i="7" l="1"/>
  <c r="H140" i="7" l="1"/>
  <c r="F140" i="7"/>
  <c r="I140" i="7" l="1"/>
  <c r="G140" i="7"/>
  <c r="C141" i="7" s="1"/>
  <c r="E141" i="7" l="1"/>
  <c r="H141" i="7" l="1"/>
  <c r="F141" i="7"/>
  <c r="I141" i="7" l="1"/>
  <c r="G141" i="7"/>
  <c r="C142" i="7" s="1"/>
  <c r="E142" i="7" l="1"/>
  <c r="H142" i="7" l="1"/>
  <c r="F142" i="7"/>
  <c r="I142" i="7" l="1"/>
  <c r="G142" i="7"/>
  <c r="C143" i="7" s="1"/>
  <c r="E143" i="7" l="1"/>
  <c r="H143" i="7" l="1"/>
  <c r="F143" i="7"/>
  <c r="I143" i="7" l="1"/>
  <c r="G143" i="7"/>
  <c r="C144" i="7" s="1"/>
  <c r="E144" i="7" l="1"/>
  <c r="H144" i="7" l="1"/>
  <c r="F144" i="7"/>
  <c r="I144" i="7" l="1"/>
  <c r="G144" i="7"/>
  <c r="C145" i="7" s="1"/>
  <c r="E145" i="7" l="1"/>
  <c r="H145" i="7" l="1"/>
  <c r="F145" i="7"/>
  <c r="I145" i="7" l="1"/>
  <c r="G145" i="7"/>
  <c r="C146" i="7" s="1"/>
  <c r="E146" i="7" l="1"/>
  <c r="H146" i="7" l="1"/>
  <c r="F146" i="7"/>
  <c r="I146" i="7" l="1"/>
  <c r="G146" i="7"/>
  <c r="C147" i="7" s="1"/>
  <c r="E147" i="7" l="1"/>
  <c r="H147" i="7" l="1"/>
  <c r="F147" i="7"/>
  <c r="I147" i="7" l="1"/>
  <c r="G147" i="7"/>
  <c r="C148" i="7" s="1"/>
  <c r="E148" i="7" l="1"/>
  <c r="H148" i="7" l="1"/>
  <c r="F148" i="7"/>
  <c r="I148" i="7" l="1"/>
  <c r="G148" i="7"/>
  <c r="C149" i="7" s="1"/>
  <c r="E149" i="7" l="1"/>
  <c r="H149" i="7" l="1"/>
  <c r="F149" i="7"/>
  <c r="I149" i="7" l="1"/>
  <c r="G149" i="7"/>
  <c r="C150" i="7" s="1"/>
  <c r="E150" i="7" l="1"/>
  <c r="H150" i="7" l="1"/>
  <c r="F150" i="7"/>
  <c r="I150" i="7" l="1"/>
  <c r="G150" i="7"/>
  <c r="C151" i="7" s="1"/>
  <c r="E151" i="7" l="1"/>
  <c r="H151" i="7" l="1"/>
  <c r="F151" i="7"/>
  <c r="I151" i="7" l="1"/>
  <c r="G151" i="7"/>
  <c r="C152" i="7" s="1"/>
  <c r="E152" i="7" l="1"/>
  <c r="H152" i="7" l="1"/>
  <c r="F152" i="7"/>
  <c r="I152" i="7" l="1"/>
  <c r="G152" i="7"/>
  <c r="C153" i="7" s="1"/>
  <c r="E153" i="7" l="1"/>
  <c r="H153" i="7" l="1"/>
  <c r="F153" i="7"/>
  <c r="I153" i="7" l="1"/>
  <c r="G153" i="7"/>
  <c r="C154" i="7" s="1"/>
  <c r="E154" i="7" l="1"/>
  <c r="H154" i="7" l="1"/>
  <c r="F154" i="7"/>
  <c r="I154" i="7" l="1"/>
  <c r="G154" i="7"/>
  <c r="C155" i="7" s="1"/>
  <c r="E155" i="7" l="1"/>
  <c r="H155" i="7" l="1"/>
  <c r="F155" i="7"/>
  <c r="I155" i="7" l="1"/>
  <c r="G155" i="7"/>
  <c r="C156" i="7" s="1"/>
  <c r="E156" i="7" l="1"/>
  <c r="F156" i="7" l="1"/>
  <c r="H156" i="7"/>
  <c r="I156" i="7" l="1"/>
  <c r="G156" i="7"/>
  <c r="C157" i="7" s="1"/>
  <c r="E157" i="7" l="1"/>
  <c r="H157" i="7" l="1"/>
  <c r="F157" i="7"/>
  <c r="I157" i="7" l="1"/>
  <c r="G157" i="7"/>
  <c r="C158" i="7" s="1"/>
  <c r="E158" i="7" l="1"/>
  <c r="H158" i="7" l="1"/>
  <c r="F158" i="7"/>
  <c r="I158" i="7" l="1"/>
  <c r="G158" i="7"/>
  <c r="C159" i="7" s="1"/>
  <c r="E159" i="7" l="1"/>
  <c r="F159" i="7" l="1"/>
  <c r="H159" i="7"/>
  <c r="I159" i="7" l="1"/>
  <c r="G159" i="7"/>
  <c r="C160" i="7" s="1"/>
  <c r="E160" i="7" l="1"/>
  <c r="F160" i="7" l="1"/>
  <c r="H160" i="7"/>
  <c r="I160" i="7" l="1"/>
  <c r="G160" i="7"/>
  <c r="C161" i="7" s="1"/>
  <c r="E161" i="7" l="1"/>
  <c r="H161" i="7" l="1"/>
  <c r="F161" i="7"/>
  <c r="I161" i="7" l="1"/>
  <c r="G161" i="7"/>
  <c r="C162" i="7" s="1"/>
  <c r="E162" i="7" l="1"/>
  <c r="H162" i="7" l="1"/>
  <c r="F162" i="7"/>
  <c r="I162" i="7" l="1"/>
  <c r="G162" i="7"/>
  <c r="C163" i="7" s="1"/>
  <c r="E163" i="7" l="1"/>
  <c r="H163" i="7" l="1"/>
  <c r="F163" i="7"/>
  <c r="I163" i="7" l="1"/>
  <c r="G163" i="7"/>
  <c r="C164" i="7" s="1"/>
  <c r="E164" i="7" l="1"/>
  <c r="F164" i="7" l="1"/>
  <c r="H164" i="7"/>
  <c r="I164" i="7" l="1"/>
  <c r="G164" i="7"/>
  <c r="C165" i="7" s="1"/>
  <c r="E165" i="7" l="1"/>
  <c r="H165" i="7" l="1"/>
  <c r="F165" i="7"/>
  <c r="I165" i="7" l="1"/>
  <c r="G165" i="7"/>
  <c r="C166" i="7" s="1"/>
  <c r="E166" i="7" l="1"/>
  <c r="H166" i="7" l="1"/>
  <c r="F166" i="7"/>
  <c r="I166" i="7" l="1"/>
  <c r="G166" i="7"/>
  <c r="C167" i="7" s="1"/>
  <c r="E167" i="7" l="1"/>
  <c r="F167" i="7" l="1"/>
  <c r="H167" i="7"/>
  <c r="I167" i="7" l="1"/>
  <c r="G167" i="7"/>
  <c r="C168" i="7" s="1"/>
  <c r="E168" i="7" l="1"/>
  <c r="F168" i="7" l="1"/>
  <c r="H168" i="7"/>
  <c r="I168" i="7" l="1"/>
  <c r="G168" i="7"/>
  <c r="C169" i="7" s="1"/>
  <c r="E169" i="7" l="1"/>
  <c r="H169" i="7" l="1"/>
  <c r="F169" i="7"/>
  <c r="I169" i="7" l="1"/>
  <c r="G169" i="7"/>
  <c r="C170" i="7" s="1"/>
  <c r="E170" i="7" l="1"/>
  <c r="H170" i="7" l="1"/>
  <c r="F170" i="7"/>
  <c r="I170" i="7" l="1"/>
  <c r="G170" i="7"/>
  <c r="C171" i="7" s="1"/>
  <c r="E171" i="7" l="1"/>
  <c r="F171" i="7" l="1"/>
  <c r="H171" i="7"/>
  <c r="I171" i="7" l="1"/>
  <c r="G171" i="7"/>
  <c r="C172" i="7" s="1"/>
  <c r="E172" i="7" l="1"/>
  <c r="F172" i="7" l="1"/>
  <c r="H172" i="7"/>
  <c r="I172" i="7" l="1"/>
  <c r="G172" i="7"/>
  <c r="C173" i="7" s="1"/>
  <c r="E173" i="7" l="1"/>
  <c r="H173" i="7" l="1"/>
  <c r="F173" i="7"/>
  <c r="I173" i="7" l="1"/>
  <c r="G173" i="7"/>
  <c r="C174" i="7" s="1"/>
  <c r="E174" i="7" l="1"/>
  <c r="H174" i="7" l="1"/>
  <c r="F174" i="7"/>
  <c r="I174" i="7" l="1"/>
  <c r="G174" i="7"/>
  <c r="C175" i="7" s="1"/>
  <c r="E175" i="7" l="1"/>
  <c r="H175" i="7" l="1"/>
  <c r="F175" i="7"/>
  <c r="I175" i="7" l="1"/>
  <c r="G175" i="7"/>
  <c r="C176" i="7" s="1"/>
  <c r="E176" i="7" l="1"/>
  <c r="F176" i="7" l="1"/>
  <c r="H176" i="7"/>
  <c r="I176" i="7" l="1"/>
  <c r="G176" i="7"/>
  <c r="C177" i="7" s="1"/>
  <c r="E177" i="7" l="1"/>
  <c r="H177" i="7" l="1"/>
  <c r="F177" i="7"/>
  <c r="I177" i="7" l="1"/>
  <c r="G177" i="7"/>
  <c r="C178" i="7" s="1"/>
  <c r="E178" i="7" l="1"/>
  <c r="H178" i="7" l="1"/>
  <c r="F178" i="7"/>
  <c r="I178" i="7" l="1"/>
  <c r="G178" i="7"/>
  <c r="C179" i="7" s="1"/>
  <c r="E179" i="7" l="1"/>
  <c r="H179" i="7" l="1"/>
  <c r="F179" i="7"/>
  <c r="I179" i="7" l="1"/>
  <c r="G179" i="7"/>
  <c r="C180" i="7" s="1"/>
  <c r="E180" i="7" l="1"/>
  <c r="F180" i="7" l="1"/>
  <c r="H180" i="7"/>
  <c r="I180" i="7" l="1"/>
  <c r="G180" i="7"/>
  <c r="C181" i="7" s="1"/>
  <c r="E181" i="7" l="1"/>
  <c r="H181" i="7" l="1"/>
  <c r="F181" i="7"/>
  <c r="I181" i="7" l="1"/>
  <c r="G181" i="7"/>
  <c r="C182" i="7" s="1"/>
  <c r="E182" i="7" l="1"/>
  <c r="H182" i="7" l="1"/>
  <c r="F182" i="7"/>
  <c r="I182" i="7" l="1"/>
  <c r="G182" i="7"/>
  <c r="C183" i="7" s="1"/>
  <c r="E183" i="7" l="1"/>
  <c r="H183" i="7" l="1"/>
  <c r="F183" i="7"/>
  <c r="I183" i="7" l="1"/>
  <c r="G183" i="7"/>
  <c r="C184" i="7" s="1"/>
  <c r="E184" i="7" l="1"/>
  <c r="F184" i="7" l="1"/>
  <c r="H184" i="7"/>
  <c r="I184" i="7" l="1"/>
  <c r="G184" i="7"/>
  <c r="C185" i="7" s="1"/>
  <c r="E185" i="7" l="1"/>
  <c r="H185" i="7" l="1"/>
  <c r="F185" i="7"/>
  <c r="I185" i="7" l="1"/>
  <c r="G185" i="7"/>
  <c r="C186" i="7" s="1"/>
  <c r="E186" i="7" l="1"/>
  <c r="H186" i="7" l="1"/>
  <c r="F186" i="7"/>
  <c r="I186" i="7" l="1"/>
  <c r="G186" i="7"/>
  <c r="C187" i="7" s="1"/>
  <c r="E187" i="7" l="1"/>
  <c r="H187" i="7" l="1"/>
  <c r="F187" i="7"/>
  <c r="I187" i="7" l="1"/>
  <c r="G187" i="7"/>
  <c r="C188" i="7" s="1"/>
  <c r="E188" i="7" l="1"/>
  <c r="F188" i="7" l="1"/>
  <c r="H188" i="7"/>
  <c r="I188" i="7" l="1"/>
  <c r="G188" i="7"/>
  <c r="C189" i="7" s="1"/>
  <c r="E189" i="7" l="1"/>
  <c r="H189" i="7" l="1"/>
  <c r="F189" i="7"/>
  <c r="I189" i="7" l="1"/>
  <c r="G189" i="7"/>
  <c r="C190" i="7" s="1"/>
  <c r="E190" i="7" l="1"/>
  <c r="F190" i="7" l="1"/>
  <c r="H190" i="7"/>
  <c r="I190" i="7" l="1"/>
  <c r="G190" i="7"/>
  <c r="C191" i="7" s="1"/>
  <c r="E191" i="7" l="1"/>
  <c r="F191" i="7" l="1"/>
  <c r="H191" i="7"/>
  <c r="I191" i="7" l="1"/>
  <c r="G191" i="7"/>
  <c r="C192" i="7" s="1"/>
  <c r="E192" i="7" l="1"/>
  <c r="F192" i="7" l="1"/>
  <c r="H192" i="7"/>
  <c r="I192" i="7" l="1"/>
  <c r="G192" i="7"/>
  <c r="C193" i="7" s="1"/>
  <c r="E193" i="7" l="1"/>
  <c r="H193" i="7" l="1"/>
  <c r="F193" i="7"/>
  <c r="I193" i="7" l="1"/>
  <c r="G193" i="7"/>
  <c r="C194" i="7" s="1"/>
  <c r="E194" i="7" l="1"/>
  <c r="H194" i="7" l="1"/>
  <c r="F194" i="7"/>
  <c r="I194" i="7" l="1"/>
  <c r="G194" i="7"/>
  <c r="C195" i="7" s="1"/>
  <c r="E195" i="7" l="1"/>
  <c r="H195" i="7" l="1"/>
  <c r="F195" i="7"/>
  <c r="I195" i="7" l="1"/>
  <c r="G195" i="7"/>
  <c r="C196" i="7" s="1"/>
  <c r="E196" i="7" l="1"/>
  <c r="F196" i="7" l="1"/>
  <c r="H196" i="7"/>
  <c r="I196" i="7" l="1"/>
  <c r="G196" i="7"/>
  <c r="C197" i="7" s="1"/>
  <c r="E197" i="7" l="1"/>
  <c r="H197" i="7" l="1"/>
  <c r="F197" i="7"/>
  <c r="I197" i="7" l="1"/>
  <c r="G197" i="7"/>
  <c r="C198" i="7" s="1"/>
  <c r="E198" i="7" l="1"/>
  <c r="F198" i="7" l="1"/>
  <c r="H198" i="7"/>
  <c r="I198" i="7" l="1"/>
  <c r="G198" i="7"/>
  <c r="C199" i="7" s="1"/>
  <c r="E199" i="7" l="1"/>
  <c r="F199" i="7" l="1"/>
  <c r="H199" i="7"/>
  <c r="I199" i="7" l="1"/>
  <c r="G199" i="7"/>
  <c r="C200" i="7" s="1"/>
  <c r="E200" i="7" l="1"/>
  <c r="F200" i="7" l="1"/>
  <c r="H200" i="7"/>
  <c r="I200" i="7" l="1"/>
  <c r="G200" i="7"/>
  <c r="C201" i="7" s="1"/>
  <c r="E201" i="7" l="1"/>
  <c r="H201" i="7" l="1"/>
  <c r="F201" i="7"/>
  <c r="I201" i="7" l="1"/>
  <c r="G201" i="7"/>
  <c r="C202" i="7" s="1"/>
  <c r="E202" i="7" l="1"/>
  <c r="H202" i="7" l="1"/>
  <c r="F202" i="7"/>
  <c r="I202" i="7" l="1"/>
  <c r="G202" i="7"/>
  <c r="C203" i="7" s="1"/>
  <c r="E203" i="7" l="1"/>
  <c r="H203" i="7" l="1"/>
  <c r="F203" i="7"/>
  <c r="I203" i="7" l="1"/>
  <c r="G203" i="7"/>
  <c r="C204" i="7" s="1"/>
  <c r="E204" i="7" l="1"/>
  <c r="F204" i="7" l="1"/>
  <c r="H204" i="7"/>
  <c r="I204" i="7" l="1"/>
  <c r="G204" i="7"/>
  <c r="C205" i="7" s="1"/>
  <c r="E205" i="7" l="1"/>
  <c r="H205" i="7" l="1"/>
  <c r="F205" i="7"/>
  <c r="I205" i="7" l="1"/>
  <c r="G205" i="7"/>
  <c r="C206" i="7" s="1"/>
  <c r="E206" i="7" l="1"/>
  <c r="H206" i="7" l="1"/>
  <c r="F206" i="7"/>
  <c r="I206" i="7" l="1"/>
  <c r="G206" i="7"/>
  <c r="C207" i="7" s="1"/>
  <c r="E207" i="7" l="1"/>
  <c r="H207" i="7" l="1"/>
  <c r="F207" i="7"/>
  <c r="I207" i="7" l="1"/>
  <c r="G207" i="7"/>
  <c r="C208" i="7" s="1"/>
  <c r="E208" i="7" l="1"/>
  <c r="F208" i="7" l="1"/>
  <c r="H208" i="7"/>
  <c r="I208" i="7" l="1"/>
  <c r="G208" i="7"/>
  <c r="C209" i="7" s="1"/>
  <c r="E209" i="7" l="1"/>
  <c r="H209" i="7" l="1"/>
  <c r="F209" i="7"/>
  <c r="I209" i="7" l="1"/>
  <c r="G209" i="7"/>
  <c r="C210" i="7" s="1"/>
  <c r="E210" i="7" l="1"/>
  <c r="H210" i="7" l="1"/>
  <c r="F210" i="7"/>
  <c r="I210" i="7" l="1"/>
  <c r="G210" i="7"/>
  <c r="C211" i="7" s="1"/>
  <c r="E211" i="7" l="1"/>
  <c r="H211" i="7" l="1"/>
  <c r="F211" i="7"/>
  <c r="I211" i="7" l="1"/>
  <c r="G211" i="7"/>
  <c r="C212" i="7" s="1"/>
  <c r="E212" i="7" l="1"/>
  <c r="F212" i="7" l="1"/>
  <c r="H212" i="7"/>
  <c r="I212" i="7" l="1"/>
  <c r="G212" i="7"/>
  <c r="C213" i="7" s="1"/>
  <c r="E213" i="7" l="1"/>
  <c r="H213" i="7" l="1"/>
  <c r="F213" i="7"/>
  <c r="I213" i="7" l="1"/>
  <c r="G213" i="7"/>
  <c r="C214" i="7" s="1"/>
  <c r="E214" i="7" l="1"/>
  <c r="H214" i="7" l="1"/>
  <c r="F214" i="7"/>
  <c r="I214" i="7" l="1"/>
  <c r="G214" i="7"/>
  <c r="C215" i="7" s="1"/>
  <c r="E215" i="7" l="1"/>
  <c r="H215" i="7" l="1"/>
  <c r="F215" i="7"/>
  <c r="I215" i="7" l="1"/>
  <c r="G215" i="7"/>
  <c r="C216" i="7" s="1"/>
  <c r="E216" i="7" l="1"/>
  <c r="F216" i="7" l="1"/>
  <c r="H216" i="7"/>
  <c r="I216" i="7" l="1"/>
  <c r="G216" i="7"/>
  <c r="C217" i="7" s="1"/>
  <c r="E217" i="7" l="1"/>
  <c r="H217" i="7" l="1"/>
  <c r="F217" i="7"/>
  <c r="I217" i="7" l="1"/>
  <c r="G217" i="7"/>
  <c r="C218" i="7" s="1"/>
  <c r="E218" i="7" l="1"/>
  <c r="H218" i="7" l="1"/>
  <c r="F218" i="7"/>
  <c r="I218" i="7" l="1"/>
  <c r="G218" i="7"/>
  <c r="C219" i="7" s="1"/>
  <c r="E219" i="7" l="1"/>
  <c r="H219" i="7" l="1"/>
  <c r="F219" i="7"/>
  <c r="I219" i="7" l="1"/>
  <c r="G219" i="7"/>
  <c r="C220" i="7" s="1"/>
  <c r="E220" i="7" l="1"/>
  <c r="F220" i="7" l="1"/>
  <c r="H220" i="7"/>
  <c r="I220" i="7" l="1"/>
  <c r="G220" i="7"/>
  <c r="C221" i="7" s="1"/>
  <c r="E221" i="7" l="1"/>
  <c r="H221" i="7" l="1"/>
  <c r="F221" i="7"/>
  <c r="I221" i="7" l="1"/>
  <c r="G221" i="7"/>
  <c r="C222" i="7" s="1"/>
  <c r="E222" i="7" l="1"/>
  <c r="H222" i="7" l="1"/>
  <c r="F222" i="7"/>
  <c r="I222" i="7" l="1"/>
  <c r="G222" i="7"/>
  <c r="C223" i="7" s="1"/>
  <c r="E223" i="7" l="1"/>
  <c r="H223" i="7" l="1"/>
  <c r="F223" i="7"/>
  <c r="I223" i="7" l="1"/>
  <c r="G223" i="7"/>
  <c r="C224" i="7" s="1"/>
  <c r="E224" i="7" l="1"/>
  <c r="H224" i="7" l="1"/>
  <c r="F224" i="7"/>
  <c r="I224" i="7" l="1"/>
  <c r="G224" i="7"/>
  <c r="C225" i="7" s="1"/>
  <c r="E225" i="7" l="1"/>
  <c r="H225" i="7" l="1"/>
  <c r="F225" i="7"/>
  <c r="I225" i="7" l="1"/>
  <c r="G225" i="7"/>
  <c r="C226" i="7" s="1"/>
  <c r="E226" i="7" l="1"/>
  <c r="H226" i="7" l="1"/>
  <c r="F226" i="7"/>
  <c r="I226" i="7" l="1"/>
  <c r="G226" i="7"/>
  <c r="C227" i="7" s="1"/>
  <c r="E227" i="7" l="1"/>
  <c r="H227" i="7" l="1"/>
  <c r="F227" i="7"/>
  <c r="I227" i="7" l="1"/>
  <c r="G227" i="7"/>
  <c r="C228" i="7" s="1"/>
  <c r="E228" i="7" l="1"/>
  <c r="H228" i="7" l="1"/>
  <c r="F228" i="7"/>
  <c r="I228" i="7" l="1"/>
  <c r="G228" i="7"/>
  <c r="C229" i="7" s="1"/>
  <c r="E229" i="7" l="1"/>
  <c r="H229" i="7" l="1"/>
  <c r="F229" i="7"/>
  <c r="I229" i="7" l="1"/>
  <c r="G229" i="7"/>
  <c r="C230" i="7" s="1"/>
  <c r="E230" i="7" l="1"/>
  <c r="H230" i="7" l="1"/>
  <c r="F230" i="7"/>
  <c r="I230" i="7" l="1"/>
  <c r="G230" i="7"/>
  <c r="C231" i="7" s="1"/>
  <c r="E231" i="7" l="1"/>
  <c r="H231" i="7" l="1"/>
  <c r="F231" i="7"/>
  <c r="I231" i="7" l="1"/>
  <c r="G231" i="7"/>
  <c r="C232" i="7" s="1"/>
  <c r="E232" i="7" l="1"/>
  <c r="H232" i="7" l="1"/>
  <c r="F232" i="7"/>
  <c r="I232" i="7" l="1"/>
  <c r="G232" i="7"/>
  <c r="C233" i="7" s="1"/>
  <c r="E233" i="7" l="1"/>
  <c r="H233" i="7" l="1"/>
  <c r="F233" i="7"/>
  <c r="I233" i="7" l="1"/>
  <c r="G233" i="7"/>
  <c r="C234" i="7" s="1"/>
  <c r="E234" i="7" l="1"/>
  <c r="H234" i="7" l="1"/>
  <c r="F234" i="7"/>
  <c r="I234" i="7" l="1"/>
  <c r="G234" i="7"/>
  <c r="C235" i="7" s="1"/>
  <c r="E235" i="7" l="1"/>
  <c r="H235" i="7" l="1"/>
  <c r="F235" i="7"/>
  <c r="I235" i="7" l="1"/>
  <c r="G235" i="7"/>
  <c r="C236" i="7" s="1"/>
  <c r="E236" i="7" l="1"/>
  <c r="H236" i="7" l="1"/>
  <c r="F236" i="7"/>
  <c r="I236" i="7" l="1"/>
  <c r="G236" i="7"/>
  <c r="C237" i="7" s="1"/>
  <c r="E237" i="7" l="1"/>
  <c r="H237" i="7" l="1"/>
  <c r="F237" i="7"/>
  <c r="I237" i="7" l="1"/>
  <c r="G237" i="7"/>
  <c r="C238" i="7" s="1"/>
  <c r="E238" i="7" l="1"/>
  <c r="H238" i="7" l="1"/>
  <c r="F238" i="7"/>
  <c r="I238" i="7" l="1"/>
  <c r="G238" i="7"/>
  <c r="C239" i="7" s="1"/>
  <c r="E239" i="7" l="1"/>
  <c r="H239" i="7" l="1"/>
  <c r="F239" i="7"/>
  <c r="I239" i="7" l="1"/>
  <c r="G239" i="7"/>
  <c r="C240" i="7" s="1"/>
  <c r="E240" i="7" l="1"/>
  <c r="H240" i="7" l="1"/>
  <c r="F240" i="7"/>
  <c r="I240" i="7" l="1"/>
  <c r="G240" i="7"/>
  <c r="C241" i="7" s="1"/>
  <c r="E241" i="7" l="1"/>
  <c r="H241" i="7" l="1"/>
  <c r="F241" i="7"/>
  <c r="I241" i="7" l="1"/>
  <c r="G241" i="7"/>
  <c r="C242" i="7" s="1"/>
  <c r="E242" i="7" l="1"/>
  <c r="H242" i="7" l="1"/>
  <c r="F242" i="7"/>
  <c r="I242" i="7" l="1"/>
  <c r="G242" i="7"/>
  <c r="C243" i="7" s="1"/>
  <c r="E243" i="7" l="1"/>
  <c r="H243" i="7" l="1"/>
  <c r="F243" i="7"/>
  <c r="I243" i="7" l="1"/>
  <c r="G243" i="7"/>
  <c r="C244" i="7" s="1"/>
  <c r="E244" i="7" l="1"/>
  <c r="H244" i="7" l="1"/>
  <c r="F244" i="7"/>
  <c r="I244" i="7" l="1"/>
  <c r="G244" i="7"/>
  <c r="C245" i="7" s="1"/>
  <c r="E245" i="7" l="1"/>
  <c r="H245" i="7" l="1"/>
  <c r="F245" i="7"/>
  <c r="I245" i="7" l="1"/>
  <c r="G245" i="7"/>
  <c r="C246" i="7" s="1"/>
  <c r="E246" i="7" l="1"/>
  <c r="H246" i="7" l="1"/>
  <c r="F246" i="7"/>
  <c r="I246" i="7" l="1"/>
  <c r="G246" i="7"/>
  <c r="C247" i="7" s="1"/>
  <c r="E247" i="7" l="1"/>
  <c r="H247" i="7" l="1"/>
  <c r="F247" i="7"/>
  <c r="I247" i="7" l="1"/>
  <c r="G247" i="7"/>
  <c r="C248" i="7" s="1"/>
  <c r="E248" i="7" l="1"/>
  <c r="H248" i="7" l="1"/>
  <c r="F248" i="7"/>
  <c r="I248" i="7" l="1"/>
  <c r="G248" i="7"/>
  <c r="C249" i="7" s="1"/>
  <c r="E249" i="7" l="1"/>
  <c r="H249" i="7" l="1"/>
  <c r="F249" i="7"/>
  <c r="I249" i="7" l="1"/>
  <c r="G249" i="7"/>
  <c r="C250" i="7" s="1"/>
  <c r="E250" i="7" l="1"/>
  <c r="H250" i="7" l="1"/>
  <c r="F250" i="7"/>
  <c r="I250" i="7" l="1"/>
  <c r="G250" i="7"/>
  <c r="C251" i="7" s="1"/>
  <c r="E251" i="7" l="1"/>
  <c r="H251" i="7" l="1"/>
  <c r="F251" i="7"/>
  <c r="I251" i="7" l="1"/>
  <c r="G251" i="7"/>
  <c r="C252" i="7" s="1"/>
  <c r="E252" i="7" l="1"/>
  <c r="H252" i="7" l="1"/>
  <c r="F252" i="7"/>
  <c r="I252" i="7" l="1"/>
  <c r="G252" i="7"/>
  <c r="C253" i="7" s="1"/>
  <c r="E253" i="7" l="1"/>
  <c r="H253" i="7" l="1"/>
  <c r="F253" i="7"/>
  <c r="I253" i="7" l="1"/>
  <c r="G253" i="7"/>
  <c r="C254" i="7" s="1"/>
  <c r="E254" i="7" l="1"/>
  <c r="H254" i="7" l="1"/>
  <c r="F254" i="7"/>
  <c r="I254" i="7" l="1"/>
  <c r="G254" i="7"/>
  <c r="C255" i="7" s="1"/>
  <c r="E255" i="7" l="1"/>
  <c r="H255" i="7" l="1"/>
  <c r="F255" i="7"/>
  <c r="I255" i="7" l="1"/>
  <c r="G255" i="7"/>
  <c r="C256" i="7" s="1"/>
  <c r="E256" i="7" l="1"/>
  <c r="H256" i="7" l="1"/>
  <c r="F256" i="7"/>
  <c r="I256" i="7" l="1"/>
  <c r="G256" i="7"/>
  <c r="C257" i="7" s="1"/>
  <c r="E257" i="7" l="1"/>
  <c r="H257" i="7" l="1"/>
  <c r="F257" i="7"/>
  <c r="I257" i="7" l="1"/>
  <c r="G257" i="7"/>
  <c r="C258" i="7" s="1"/>
  <c r="E258" i="7" l="1"/>
  <c r="H258" i="7" l="1"/>
  <c r="F258" i="7"/>
  <c r="I258" i="7" l="1"/>
  <c r="G258" i="7"/>
  <c r="C259" i="7" s="1"/>
  <c r="E259" i="7" l="1"/>
  <c r="H259" i="7" l="1"/>
  <c r="F259" i="7"/>
  <c r="I259" i="7" l="1"/>
  <c r="G259" i="7"/>
  <c r="C260" i="7" s="1"/>
  <c r="E260" i="7" l="1"/>
  <c r="H260" i="7" l="1"/>
  <c r="F260" i="7"/>
  <c r="I260" i="7" l="1"/>
  <c r="G260" i="7"/>
  <c r="C261" i="7" s="1"/>
  <c r="E261" i="7" l="1"/>
  <c r="H261" i="7" l="1"/>
  <c r="F261" i="7"/>
  <c r="I261" i="7" l="1"/>
  <c r="G261" i="7"/>
  <c r="C262" i="7" s="1"/>
  <c r="E262" i="7" l="1"/>
  <c r="H262" i="7" l="1"/>
  <c r="F262" i="7"/>
  <c r="I262" i="7" l="1"/>
  <c r="G262" i="7"/>
  <c r="C263" i="7" s="1"/>
  <c r="E263" i="7" l="1"/>
  <c r="H263" i="7" l="1"/>
  <c r="F263" i="7"/>
  <c r="I263" i="7" l="1"/>
  <c r="G263" i="7"/>
  <c r="C264" i="7" s="1"/>
  <c r="E264" i="7" l="1"/>
  <c r="H264" i="7" l="1"/>
  <c r="F264" i="7"/>
  <c r="I264" i="7" l="1"/>
  <c r="G264" i="7"/>
  <c r="C265" i="7" s="1"/>
  <c r="E265" i="7" l="1"/>
  <c r="H265" i="7" l="1"/>
  <c r="F265" i="7"/>
  <c r="I265" i="7" l="1"/>
  <c r="G265" i="7"/>
  <c r="C266" i="7" s="1"/>
  <c r="E266" i="7" l="1"/>
  <c r="H266" i="7" l="1"/>
  <c r="F266" i="7"/>
  <c r="I266" i="7" l="1"/>
  <c r="G266" i="7"/>
  <c r="C267" i="7" s="1"/>
  <c r="E267" i="7" l="1"/>
  <c r="H267" i="7" l="1"/>
  <c r="F267" i="7"/>
  <c r="I267" i="7" l="1"/>
  <c r="G267" i="7"/>
  <c r="C268" i="7" s="1"/>
  <c r="E268" i="7" l="1"/>
  <c r="F268" i="7" l="1"/>
  <c r="H268" i="7"/>
  <c r="I268" i="7" l="1"/>
  <c r="G268" i="7"/>
  <c r="C269" i="7" s="1"/>
  <c r="E269" i="7" l="1"/>
  <c r="H269" i="7" l="1"/>
  <c r="F269" i="7"/>
  <c r="I269" i="7" l="1"/>
  <c r="G269" i="7"/>
  <c r="C270" i="7" s="1"/>
  <c r="E270" i="7" l="1"/>
  <c r="H270" i="7" l="1"/>
  <c r="F270" i="7"/>
  <c r="I270" i="7" l="1"/>
  <c r="G270" i="7"/>
  <c r="C271" i="7" s="1"/>
  <c r="E271" i="7" l="1"/>
  <c r="H271" i="7" l="1"/>
  <c r="F271" i="7"/>
  <c r="I271" i="7" l="1"/>
  <c r="G271" i="7"/>
  <c r="C272" i="7" s="1"/>
  <c r="E272" i="7" l="1"/>
  <c r="H272" i="7" l="1"/>
  <c r="F272" i="7"/>
  <c r="I272" i="7" l="1"/>
  <c r="G272" i="7"/>
  <c r="C273" i="7" s="1"/>
  <c r="E273" i="7" l="1"/>
  <c r="H273" i="7" l="1"/>
  <c r="F273" i="7"/>
  <c r="I273" i="7" l="1"/>
  <c r="G273" i="7"/>
  <c r="C274" i="7" s="1"/>
  <c r="E274" i="7" l="1"/>
  <c r="H274" i="7" l="1"/>
  <c r="F274" i="7"/>
  <c r="I274" i="7" l="1"/>
  <c r="G274" i="7"/>
  <c r="C275" i="7" s="1"/>
  <c r="E275" i="7" l="1"/>
  <c r="H275" i="7" l="1"/>
  <c r="F275" i="7"/>
  <c r="I275" i="7" l="1"/>
  <c r="G275" i="7"/>
  <c r="C276" i="7" s="1"/>
  <c r="E276" i="7" l="1"/>
  <c r="H276" i="7" l="1"/>
  <c r="F276" i="7"/>
  <c r="I276" i="7" l="1"/>
  <c r="G276" i="7"/>
  <c r="C277" i="7" s="1"/>
  <c r="E277" i="7" l="1"/>
  <c r="H277" i="7" l="1"/>
  <c r="F277" i="7"/>
  <c r="I277" i="7" l="1"/>
  <c r="G277" i="7"/>
  <c r="C278" i="7" s="1"/>
  <c r="E278" i="7" l="1"/>
  <c r="H278" i="7" l="1"/>
  <c r="F278" i="7"/>
  <c r="I278" i="7" l="1"/>
  <c r="G278" i="7"/>
  <c r="C279" i="7" s="1"/>
  <c r="E279" i="7" l="1"/>
  <c r="H279" i="7" l="1"/>
  <c r="F279" i="7"/>
  <c r="I279" i="7" l="1"/>
  <c r="G279" i="7"/>
  <c r="C280" i="7" s="1"/>
  <c r="E280" i="7" l="1"/>
  <c r="H280" i="7" l="1"/>
  <c r="F280" i="7"/>
  <c r="I280" i="7" l="1"/>
  <c r="G280" i="7"/>
  <c r="C281" i="7" s="1"/>
  <c r="E281" i="7" l="1"/>
  <c r="H281" i="7" l="1"/>
  <c r="F281" i="7"/>
  <c r="I281" i="7" l="1"/>
  <c r="G281" i="7"/>
  <c r="C282" i="7" s="1"/>
  <c r="E282" i="7" l="1"/>
  <c r="H282" i="7" l="1"/>
  <c r="F282" i="7"/>
  <c r="I282" i="7" l="1"/>
  <c r="G282" i="7"/>
  <c r="C283" i="7" s="1"/>
  <c r="E283" i="7" l="1"/>
  <c r="H283" i="7" l="1"/>
  <c r="F283" i="7"/>
  <c r="I283" i="7" l="1"/>
  <c r="G283" i="7"/>
  <c r="C284" i="7" s="1"/>
  <c r="E284" i="7" l="1"/>
  <c r="H284" i="7" l="1"/>
  <c r="F284" i="7"/>
  <c r="I284" i="7" l="1"/>
  <c r="G284" i="7"/>
  <c r="C285" i="7" s="1"/>
  <c r="E285" i="7" l="1"/>
  <c r="H285" i="7" l="1"/>
  <c r="F285" i="7"/>
  <c r="I285" i="7" l="1"/>
  <c r="G285" i="7"/>
  <c r="C286" i="7" s="1"/>
  <c r="E286" i="7" l="1"/>
  <c r="H286" i="7" l="1"/>
  <c r="F286" i="7"/>
  <c r="I286" i="7" l="1"/>
  <c r="G286" i="7"/>
  <c r="C287" i="7" s="1"/>
  <c r="E287" i="7" l="1"/>
  <c r="H287" i="7" l="1"/>
  <c r="F287" i="7"/>
  <c r="I287" i="7" l="1"/>
  <c r="G287" i="7"/>
  <c r="C288" i="7" s="1"/>
  <c r="E288" i="7" l="1"/>
  <c r="H288" i="7" l="1"/>
  <c r="F288" i="7"/>
  <c r="I288" i="7" l="1"/>
  <c r="G288" i="7"/>
  <c r="C289" i="7" s="1"/>
  <c r="E289" i="7" l="1"/>
  <c r="H289" i="7" l="1"/>
  <c r="F289" i="7"/>
  <c r="I289" i="7" l="1"/>
  <c r="G289" i="7"/>
  <c r="C290" i="7" s="1"/>
  <c r="E290" i="7" l="1"/>
  <c r="H290" i="7" l="1"/>
  <c r="F290" i="7"/>
  <c r="I290" i="7" l="1"/>
  <c r="G290" i="7"/>
  <c r="C291" i="7" s="1"/>
  <c r="E291" i="7" l="1"/>
  <c r="H291" i="7" l="1"/>
  <c r="F291" i="7"/>
  <c r="I291" i="7" l="1"/>
  <c r="G291" i="7"/>
  <c r="C292" i="7" s="1"/>
  <c r="E292" i="7" l="1"/>
  <c r="H292" i="7" l="1"/>
  <c r="F292" i="7"/>
  <c r="I292" i="7" l="1"/>
  <c r="G292" i="7"/>
  <c r="C293" i="7" s="1"/>
  <c r="E293" i="7" l="1"/>
  <c r="H293" i="7" l="1"/>
  <c r="F293" i="7"/>
  <c r="I293" i="7" l="1"/>
  <c r="G293" i="7"/>
  <c r="C294" i="7" s="1"/>
  <c r="E294" i="7" l="1"/>
  <c r="H294" i="7" l="1"/>
  <c r="F294" i="7"/>
  <c r="I294" i="7" l="1"/>
  <c r="G294" i="7"/>
  <c r="C295" i="7" s="1"/>
  <c r="E295" i="7" l="1"/>
  <c r="H295" i="7" l="1"/>
  <c r="F295" i="7"/>
  <c r="I295" i="7" l="1"/>
  <c r="G295" i="7"/>
  <c r="C296" i="7" s="1"/>
  <c r="E296" i="7" l="1"/>
  <c r="H296" i="7" l="1"/>
  <c r="F296" i="7"/>
  <c r="I296" i="7" l="1"/>
  <c r="G296" i="7"/>
  <c r="C297" i="7" s="1"/>
  <c r="E297" i="7" l="1"/>
  <c r="H297" i="7" l="1"/>
  <c r="F297" i="7"/>
  <c r="I297" i="7" l="1"/>
  <c r="G297" i="7"/>
  <c r="C298" i="7" s="1"/>
  <c r="E298" i="7" l="1"/>
  <c r="H298" i="7" l="1"/>
  <c r="F298" i="7"/>
  <c r="I298" i="7" l="1"/>
  <c r="G298" i="7"/>
  <c r="C299" i="7" s="1"/>
  <c r="E299" i="7" l="1"/>
  <c r="H299" i="7" l="1"/>
  <c r="F299" i="7"/>
  <c r="I299" i="7" l="1"/>
  <c r="G299" i="7"/>
  <c r="C300" i="7" s="1"/>
  <c r="E300" i="7" l="1"/>
  <c r="H300" i="7" l="1"/>
  <c r="F300" i="7"/>
  <c r="I300" i="7" l="1"/>
  <c r="G300" i="7"/>
  <c r="C301" i="7" s="1"/>
  <c r="E301" i="7" l="1"/>
  <c r="H301" i="7" l="1"/>
  <c r="F301" i="7"/>
  <c r="I301" i="7" l="1"/>
  <c r="G301" i="7"/>
  <c r="C302" i="7" s="1"/>
  <c r="E302" i="7" l="1"/>
  <c r="H302" i="7" l="1"/>
  <c r="F302" i="7"/>
  <c r="I302" i="7" l="1"/>
  <c r="G302" i="7"/>
  <c r="C303" i="7" s="1"/>
  <c r="E303" i="7" l="1"/>
  <c r="F303" i="7" l="1"/>
  <c r="H303" i="7"/>
  <c r="I303" i="7" l="1"/>
  <c r="G303" i="7"/>
  <c r="C304" i="7" s="1"/>
  <c r="E304" i="7" l="1"/>
  <c r="F304" i="7" l="1"/>
  <c r="H304" i="7"/>
  <c r="I304" i="7" l="1"/>
  <c r="G304" i="7"/>
  <c r="C305" i="7" s="1"/>
  <c r="E305" i="7" l="1"/>
  <c r="F305" i="7" l="1"/>
  <c r="H305" i="7"/>
  <c r="I305" i="7" l="1"/>
  <c r="G305" i="7"/>
  <c r="C306" i="7" s="1"/>
  <c r="E306" i="7" l="1"/>
  <c r="H306" i="7" l="1"/>
  <c r="F306" i="7"/>
  <c r="I306" i="7" l="1"/>
  <c r="G306" i="7"/>
  <c r="C307" i="7" s="1"/>
  <c r="E307" i="7" l="1"/>
  <c r="H307" i="7" l="1"/>
  <c r="F307" i="7"/>
  <c r="I307" i="7" l="1"/>
  <c r="G307" i="7"/>
  <c r="C308" i="7" s="1"/>
  <c r="E308" i="7" l="1"/>
  <c r="F308" i="7" l="1"/>
  <c r="H308" i="7"/>
  <c r="I308" i="7" l="1"/>
  <c r="G308" i="7"/>
  <c r="C309" i="7" s="1"/>
  <c r="E309" i="7" l="1"/>
  <c r="H309" i="7" l="1"/>
  <c r="F309" i="7"/>
  <c r="I309" i="7" l="1"/>
  <c r="G309" i="7"/>
  <c r="C310" i="7" s="1"/>
  <c r="E310" i="7" l="1"/>
  <c r="H310" i="7" l="1"/>
  <c r="F310" i="7"/>
  <c r="I310" i="7" l="1"/>
  <c r="G31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Souvik Dutta</author>
  </authors>
  <commentList>
    <comment ref="E16" authorId="0" shapeId="0" xr:uid="{AA0AB9EA-19C6-4951-AA0E-E0349DC00185}">
      <text>
        <r>
          <rPr>
            <b/>
            <sz val="9"/>
            <color indexed="81"/>
            <rFont val="Tahoma"/>
            <family val="2"/>
          </rPr>
          <t>Souvik Dutta:</t>
        </r>
        <r>
          <rPr>
            <sz val="9"/>
            <color indexed="81"/>
            <rFont val="Tahoma"/>
            <family val="2"/>
          </rPr>
          <t xml:space="preserve">
(Assumed CAM,Taxes and Insurance are paid proportionately by the tenants and remaining expenses are covered by the landlord)</t>
        </r>
      </text>
    </comment>
  </commentList>
</comments>
</file>

<file path=xl/sharedStrings.xml><?xml version="1.0" encoding="utf-8"?>
<sst xmlns="http://schemas.openxmlformats.org/spreadsheetml/2006/main" count="148" uniqueCount="118">
  <si>
    <t>Ridge Business Center</t>
  </si>
  <si>
    <t xml:space="preserve">Ridge Business Center is a warehouse/office property in Charlotte. The property includes a well-maintained building totalling 50,000 sq ft in leasable area.  </t>
  </si>
  <si>
    <t xml:space="preserve">The property has been offered for sale by the current owner at asking price of $5 Million. As a Financial Analyst of XYZ Investors, you are expected to identify if the property will </t>
  </si>
  <si>
    <t xml:space="preserve">be a good acquisition for the company. An investment must generate a minimum of 15% IRR for XYZ Investors. </t>
  </si>
  <si>
    <t>Please build a financial model using the assumptions below to provide an answer to the Management. Required sheets have been provided.</t>
  </si>
  <si>
    <t>Investment Assumptions</t>
  </si>
  <si>
    <t>Acquisition Date</t>
  </si>
  <si>
    <t>Holding Period</t>
  </si>
  <si>
    <t>5 years</t>
  </si>
  <si>
    <t>* time for which the property is owned</t>
  </si>
  <si>
    <t>Sale Date</t>
  </si>
  <si>
    <t>last day of 60th month</t>
  </si>
  <si>
    <t>Terminal Cap Rate</t>
  </si>
  <si>
    <t>* This rate is used to determine Sale Price by the following formula: Sale Price= 5th Year NOI/Terminal Cap Rate</t>
  </si>
  <si>
    <t>Cost of Sale</t>
  </si>
  <si>
    <t>* 2% of Sale Earnings go to broker/lawyer</t>
  </si>
  <si>
    <t>Loan Assumptions</t>
  </si>
  <si>
    <t>Loan Start Date</t>
  </si>
  <si>
    <t>Term of Loan</t>
  </si>
  <si>
    <t>LTV</t>
  </si>
  <si>
    <t>* of Price</t>
  </si>
  <si>
    <t>Interest Rate</t>
  </si>
  <si>
    <t>Loan Fees</t>
  </si>
  <si>
    <t>Amortization Period</t>
  </si>
  <si>
    <t>25 years</t>
  </si>
  <si>
    <t>* Calculate monthly loan payments, you will need an amortization schedule</t>
  </si>
  <si>
    <t>Rent Assumptions</t>
  </si>
  <si>
    <t>1) Assume rents increase every year on first day of the calendar year</t>
  </si>
  <si>
    <t>2) Rents shown are Annual rents on a per square feet basis. Convert them to monthly rents and actual $ as and when required.</t>
  </si>
  <si>
    <t>3) NNN leases are triple net leases, tenant has to pay their proportionate share of CAM, taxes and insurance over and above the rent</t>
  </si>
  <si>
    <t>4) Consider Suite 1006 as vacant for the entire duration of 5 years</t>
  </si>
  <si>
    <t>Rent Roll ( As of 31 July, 2020)</t>
  </si>
  <si>
    <t>Suite</t>
  </si>
  <si>
    <t>Leased Area</t>
  </si>
  <si>
    <t>Status</t>
  </si>
  <si>
    <t>Lease Start Date</t>
  </si>
  <si>
    <t>Lease End Date</t>
  </si>
  <si>
    <t>Annual Rent PSF</t>
  </si>
  <si>
    <t>Rent Increase Date</t>
  </si>
  <si>
    <t>Rent Increase</t>
  </si>
  <si>
    <t>Lease Type</t>
  </si>
  <si>
    <t>(sq. ft)</t>
  </si>
  <si>
    <t>(mm/dd/yy)</t>
  </si>
  <si>
    <t>(as of 31 July, 20)</t>
  </si>
  <si>
    <t>Annual (%)</t>
  </si>
  <si>
    <t>Occupied</t>
  </si>
  <si>
    <t>NNN</t>
  </si>
  <si>
    <t>Vacant</t>
  </si>
  <si>
    <t>Total</t>
  </si>
  <si>
    <t>Expense Assumptions</t>
  </si>
  <si>
    <t>1) All expenses are paid by landlord</t>
  </si>
  <si>
    <t>2) All expenses grow 2% annually</t>
  </si>
  <si>
    <t>Expense Type</t>
  </si>
  <si>
    <t>Annual Expense ($)</t>
  </si>
  <si>
    <t xml:space="preserve">CAM </t>
  </si>
  <si>
    <t>Taxes</t>
  </si>
  <si>
    <t>Insurance</t>
  </si>
  <si>
    <t>Utilities</t>
  </si>
  <si>
    <t>Repairs</t>
  </si>
  <si>
    <t>Capital Expenditure</t>
  </si>
  <si>
    <t>Year</t>
  </si>
  <si>
    <t>Annual Amount</t>
  </si>
  <si>
    <t>($ psf)</t>
  </si>
  <si>
    <t>You must calculate the sections mentioned below on this page, you can add assumptions or other information you deem relevant to this dashboard page</t>
  </si>
  <si>
    <t>Purchase Price</t>
  </si>
  <si>
    <t xml:space="preserve">Net Sale Price </t>
  </si>
  <si>
    <t>Net Cash Flow Before Debt (yearly)</t>
  </si>
  <si>
    <t>Net Cash Flow After Debt (yearly)</t>
  </si>
  <si>
    <t>Sources and Uses of Cash Flow</t>
  </si>
  <si>
    <t xml:space="preserve">Returns &amp; Yields </t>
  </si>
  <si>
    <t>Sources</t>
  </si>
  <si>
    <t>%</t>
  </si>
  <si>
    <t>Equity Multiple</t>
  </si>
  <si>
    <t>Debt</t>
  </si>
  <si>
    <t>Levered IRR</t>
  </si>
  <si>
    <t>Equity</t>
  </si>
  <si>
    <t>Levered Profit</t>
  </si>
  <si>
    <t>Return on Equity</t>
  </si>
  <si>
    <t>Uses</t>
  </si>
  <si>
    <t>Acquisition</t>
  </si>
  <si>
    <t>Loan Fee</t>
  </si>
  <si>
    <t>Analysis  Date</t>
  </si>
  <si>
    <t>Income</t>
  </si>
  <si>
    <t>NOI</t>
  </si>
  <si>
    <t>Cash flow Before Debt</t>
  </si>
  <si>
    <t>Cash Flow After Debt</t>
  </si>
  <si>
    <t>* Summarize the monthly Cash flow Annually here</t>
  </si>
  <si>
    <t>Month</t>
  </si>
  <si>
    <t>Payment</t>
  </si>
  <si>
    <t>Principal</t>
  </si>
  <si>
    <t>Loan Amortization Schedule</t>
  </si>
  <si>
    <t>Mortgage Amount</t>
  </si>
  <si>
    <t>Monthly Interest Rate</t>
  </si>
  <si>
    <t>Borrowing Term</t>
  </si>
  <si>
    <t>Annual Interest Rate</t>
  </si>
  <si>
    <t>Number of Periods</t>
  </si>
  <si>
    <t>Interest</t>
  </si>
  <si>
    <t>% Interest</t>
  </si>
  <si>
    <t>% Principal</t>
  </si>
  <si>
    <t>Ending Balance</t>
  </si>
  <si>
    <t>Beginning Balance</t>
  </si>
  <si>
    <t>as of 1st Jan 2021</t>
  </si>
  <si>
    <t>Proportion</t>
  </si>
  <si>
    <t>Expenses Increment anually</t>
  </si>
  <si>
    <t>Operating Expenses</t>
  </si>
  <si>
    <t>Capital Expense</t>
  </si>
  <si>
    <t>Leasable Area</t>
  </si>
  <si>
    <t>Annual share of triple Rent(NNN) as of 1st Jan 2021</t>
  </si>
  <si>
    <t>Annual Expense as of 1st Jan 2021</t>
  </si>
  <si>
    <t>Interest Expense</t>
  </si>
  <si>
    <t>Monthly Payment</t>
  </si>
  <si>
    <t>Rent Frequency in a year</t>
  </si>
  <si>
    <t xml:space="preserve">Total Rent </t>
  </si>
  <si>
    <t>CF for NPV,IRR Calculation</t>
  </si>
  <si>
    <t>(assumed)</t>
  </si>
  <si>
    <t>(Assumed CAM,Taxes and Insurance are paid proportionately by the tenants and remaining expenses are covered by the landlord)</t>
  </si>
  <si>
    <t>in total</t>
  </si>
  <si>
    <t>Triple Net Leases Anually(NNN)-CAM,Taxes,Insurance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</si>
</sst>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0.0%"/>
    <numFmt numFmtId="166" formatCode="&quot;$&quot;#,##0.00"/>
    <numFmt numFmtId="167" formatCode="&quot;Month&quot;\ 0"/>
    <numFmt numFmtId="168" formatCode="&quot;Year&quot;\ 0"/>
    <numFmt numFmtId="169" formatCode="#,##0_);\(#,##0\);\-\-_);@_)"/>
    <numFmt numFmtId="170" formatCode="&quot;$&quot;#,##0_);\(&quot;$&quot;#,##0\);\-\-_);@_)"/>
    <numFmt numFmtId="171" formatCode="0\ &quot;Years&quot;_)"/>
    <numFmt numFmtId="172" formatCode="0\ &quot;Periods&quot;_)"/>
    <numFmt numFmtId="173" formatCode="#,##0.00%_);\(#,##0.00%\);\-\-_);@_)"/>
    <numFmt numFmtId="174" formatCode="General&quot; sq ft&quot;"/>
    <numFmt numFmtId="175" formatCode="&quot;$&quot;##,###"/>
    <numFmt numFmtId="176" formatCode="0&quot;x&quot;"/>
    <numFmt numFmtId="177" formatCode="_(&quot;$&quot;* #,##0_);_(&quot;$&quot;* \(#,##0\);_(&quot;$&quot;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name val="Cambria"/>
      <family val="1"/>
    </font>
    <font>
      <b/>
      <sz val="10"/>
      <color theme="1"/>
      <name val="Cambria"/>
      <family val="1"/>
    </font>
    <font>
      <b/>
      <sz val="10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rgb="FF9C0006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57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3F3F76"/>
      <name val="Calibri"/>
      <family val="2"/>
      <scheme val="minor"/>
    </font>
    <font>
      <sz val="10"/>
      <color rgb="FFFA7D00"/>
      <name val="Calibri"/>
      <family val="2"/>
      <scheme val="minor"/>
    </font>
    <font>
      <i/>
      <sz val="10"/>
      <color rgb="FF7F7F7F"/>
      <name val="Arial"/>
      <family val="2"/>
    </font>
    <font>
      <b/>
      <sz val="10"/>
      <color rgb="FFFA7D00"/>
      <name val="Perpetua"/>
      <family val="1"/>
    </font>
    <font>
      <u/>
      <sz val="10"/>
      <color theme="1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DFE9F4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0" fontId="10" fillId="14" borderId="10" applyNumberFormat="0" applyAlignment="0" applyProtection="0"/>
    <xf numFmtId="0" fontId="16" fillId="8" borderId="0" applyNumberFormat="0" applyBorder="0" applyAlignment="0" applyProtection="0"/>
    <xf numFmtId="0" fontId="15" fillId="9" borderId="0" applyNumberFormat="0" applyBorder="0" applyAlignment="0" applyProtection="0"/>
    <xf numFmtId="0" fontId="17" fillId="10" borderId="0" applyNumberFormat="0" applyBorder="0" applyAlignment="0" applyProtection="0"/>
    <xf numFmtId="0" fontId="19" fillId="11" borderId="7" applyNumberFormat="0" applyAlignment="0" applyProtection="0"/>
    <xf numFmtId="0" fontId="22" fillId="12" borderId="7" applyNumberFormat="0" applyAlignment="0" applyProtection="0"/>
    <xf numFmtId="0" fontId="20" fillId="0" borderId="8" applyNumberFormat="0" applyFill="0" applyAlignment="0" applyProtection="0"/>
    <xf numFmtId="0" fontId="18" fillId="13" borderId="9" applyNumberFormat="0" applyAlignment="0" applyProtection="0"/>
    <xf numFmtId="0" fontId="21" fillId="0" borderId="0" applyNumberFormat="0" applyFill="0" applyBorder="0" applyAlignment="0" applyProtection="0"/>
    <xf numFmtId="0" fontId="23" fillId="0" borderId="0" applyNumberFormat="0" applyFont="0" applyFill="0" applyBorder="0" applyAlignment="0" applyProtection="0"/>
  </cellStyleXfs>
  <cellXfs count="10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2" borderId="0" xfId="0" applyFont="1" applyFill="1"/>
    <xf numFmtId="0" fontId="4" fillId="2" borderId="0" xfId="0" applyFont="1" applyFill="1"/>
    <xf numFmtId="0" fontId="4" fillId="0" borderId="0" xfId="0" applyFont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/>
    <xf numFmtId="8" fontId="0" fillId="0" borderId="0" xfId="0" applyNumberFormat="1" applyAlignment="1">
      <alignment horizontal="right"/>
    </xf>
    <xf numFmtId="6" fontId="0" fillId="0" borderId="0" xfId="0" applyNumberFormat="1" applyAlignment="1">
      <alignment horizontal="right"/>
    </xf>
    <xf numFmtId="10" fontId="0" fillId="0" borderId="0" xfId="3" applyNumberFormat="1" applyFont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5" fillId="0" borderId="0" xfId="0" applyFont="1"/>
    <xf numFmtId="0" fontId="0" fillId="0" borderId="2" xfId="0" applyBorder="1"/>
    <xf numFmtId="0" fontId="0" fillId="0" borderId="3" xfId="0" applyBorder="1"/>
    <xf numFmtId="15" fontId="0" fillId="0" borderId="3" xfId="0" applyNumberFormat="1" applyBorder="1"/>
    <xf numFmtId="0" fontId="0" fillId="0" borderId="3" xfId="0" applyBorder="1" applyAlignment="1">
      <alignment horizontal="right"/>
    </xf>
    <xf numFmtId="9" fontId="0" fillId="0" borderId="3" xfId="0" applyNumberFormat="1" applyBorder="1"/>
    <xf numFmtId="165" fontId="0" fillId="0" borderId="3" xfId="0" applyNumberFormat="1" applyBorder="1"/>
    <xf numFmtId="166" fontId="3" fillId="0" borderId="1" xfId="2" applyNumberFormat="1" applyFont="1" applyBorder="1" applyAlignment="1">
      <alignment horizontal="right"/>
    </xf>
    <xf numFmtId="8" fontId="0" fillId="0" borderId="0" xfId="0" applyNumberFormat="1"/>
    <xf numFmtId="0" fontId="3" fillId="3" borderId="0" xfId="0" applyFont="1" applyFill="1" applyAlignment="1">
      <alignment horizontal="left"/>
    </xf>
    <xf numFmtId="6" fontId="0" fillId="0" borderId="0" xfId="0" applyNumberFormat="1"/>
    <xf numFmtId="6" fontId="3" fillId="0" borderId="1" xfId="0" applyNumberFormat="1" applyFont="1" applyBorder="1"/>
    <xf numFmtId="0" fontId="3" fillId="0" borderId="1" xfId="0" applyFont="1" applyBorder="1"/>
    <xf numFmtId="0" fontId="2" fillId="0" borderId="0" xfId="0" applyFont="1"/>
    <xf numFmtId="0" fontId="10" fillId="0" borderId="0" xfId="0" applyFont="1"/>
    <xf numFmtId="0" fontId="14" fillId="0" borderId="0" xfId="0" applyFont="1"/>
    <xf numFmtId="14" fontId="8" fillId="3" borderId="0" xfId="0" applyNumberFormat="1" applyFont="1" applyFill="1"/>
    <xf numFmtId="14" fontId="6" fillId="3" borderId="0" xfId="0" applyNumberFormat="1" applyFont="1" applyFill="1"/>
    <xf numFmtId="167" fontId="9" fillId="3" borderId="0" xfId="0" applyNumberFormat="1" applyFont="1" applyFill="1"/>
    <xf numFmtId="15" fontId="0" fillId="0" borderId="0" xfId="0" applyNumberFormat="1"/>
    <xf numFmtId="168" fontId="7" fillId="0" borderId="0" xfId="0" applyNumberFormat="1" applyFon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66" fontId="3" fillId="0" borderId="0" xfId="2" applyNumberFormat="1" applyFont="1" applyBorder="1" applyAlignment="1">
      <alignment horizontal="right"/>
    </xf>
    <xf numFmtId="10" fontId="3" fillId="0" borderId="0" xfId="0" applyNumberFormat="1" applyFont="1" applyAlignment="1">
      <alignment horizontal="center"/>
    </xf>
    <xf numFmtId="0" fontId="0" fillId="7" borderId="0" xfId="0" applyFill="1"/>
    <xf numFmtId="0" fontId="0" fillId="7" borderId="3" xfId="0" applyFill="1" applyBorder="1"/>
    <xf numFmtId="0" fontId="10" fillId="0" borderId="0" xfId="4"/>
    <xf numFmtId="169" fontId="12" fillId="0" borderId="0" xfId="4" applyNumberFormat="1" applyFont="1" applyAlignment="1">
      <alignment vertical="center"/>
    </xf>
    <xf numFmtId="169" fontId="12" fillId="15" borderId="0" xfId="4" applyNumberFormat="1" applyFont="1" applyFill="1" applyAlignment="1">
      <alignment vertical="center"/>
    </xf>
    <xf numFmtId="169" fontId="11" fillId="0" borderId="0" xfId="4" applyNumberFormat="1" applyFont="1" applyAlignment="1">
      <alignment vertical="center"/>
    </xf>
    <xf numFmtId="170" fontId="24" fillId="0" borderId="3" xfId="4" applyNumberFormat="1" applyFont="1" applyBorder="1" applyAlignment="1">
      <alignment horizontal="center" vertical="center"/>
    </xf>
    <xf numFmtId="171" fontId="24" fillId="0" borderId="3" xfId="4" applyNumberFormat="1" applyFont="1" applyBorder="1" applyAlignment="1">
      <alignment horizontal="center" vertical="center"/>
    </xf>
    <xf numFmtId="173" fontId="24" fillId="0" borderId="3" xfId="4" applyNumberFormat="1" applyFont="1" applyBorder="1" applyAlignment="1">
      <alignment horizontal="center" vertical="center"/>
    </xf>
    <xf numFmtId="173" fontId="11" fillId="0" borderId="3" xfId="4" applyNumberFormat="1" applyFont="1" applyBorder="1" applyAlignment="1">
      <alignment horizontal="center" vertical="center"/>
    </xf>
    <xf numFmtId="172" fontId="11" fillId="0" borderId="3" xfId="4" applyNumberFormat="1" applyFont="1" applyBorder="1" applyAlignment="1">
      <alignment horizontal="center" vertical="center"/>
    </xf>
    <xf numFmtId="169" fontId="10" fillId="0" borderId="0" xfId="4" applyNumberFormat="1" applyAlignment="1">
      <alignment vertical="center"/>
    </xf>
    <xf numFmtId="169" fontId="10" fillId="0" borderId="6" xfId="4" applyNumberFormat="1" applyBorder="1" applyAlignment="1">
      <alignment vertical="center"/>
    </xf>
    <xf numFmtId="169" fontId="10" fillId="0" borderId="6" xfId="4" applyNumberFormat="1" applyBorder="1" applyAlignment="1">
      <alignment horizontal="right" vertical="center"/>
    </xf>
    <xf numFmtId="169" fontId="10" fillId="0" borderId="0" xfId="4" applyNumberFormat="1" applyAlignment="1">
      <alignment horizontal="center" vertical="center"/>
    </xf>
    <xf numFmtId="170" fontId="10" fillId="0" borderId="0" xfId="4" applyNumberFormat="1" applyAlignment="1">
      <alignment horizontal="center" vertical="center"/>
    </xf>
    <xf numFmtId="173" fontId="10" fillId="0" borderId="0" xfId="4" applyNumberFormat="1" applyAlignment="1">
      <alignment horizontal="center" vertical="center"/>
    </xf>
    <xf numFmtId="1" fontId="0" fillId="0" borderId="0" xfId="0" applyNumberFormat="1"/>
    <xf numFmtId="170" fontId="0" fillId="0" borderId="0" xfId="0" applyNumberFormat="1"/>
    <xf numFmtId="169" fontId="13" fillId="16" borderId="0" xfId="4" applyNumberFormat="1" applyFont="1" applyFill="1" applyAlignment="1">
      <alignment horizontal="center" vertical="center"/>
    </xf>
    <xf numFmtId="169" fontId="13" fillId="0" borderId="0" xfId="4" applyNumberFormat="1" applyFont="1" applyAlignment="1">
      <alignment vertical="center"/>
    </xf>
    <xf numFmtId="3" fontId="3" fillId="0" borderId="0" xfId="0" applyNumberFormat="1" applyFont="1"/>
    <xf numFmtId="174" fontId="0" fillId="0" borderId="0" xfId="0" applyNumberFormat="1"/>
    <xf numFmtId="37" fontId="26" fillId="0" borderId="0" xfId="1" applyNumberFormat="1" applyFont="1" applyFill="1" applyBorder="1"/>
    <xf numFmtId="37" fontId="26" fillId="4" borderId="0" xfId="1" applyNumberFormat="1" applyFont="1" applyFill="1" applyAlignment="1"/>
    <xf numFmtId="37" fontId="26" fillId="4" borderId="0" xfId="1" applyNumberFormat="1" applyFont="1" applyFill="1"/>
    <xf numFmtId="0" fontId="27" fillId="5" borderId="1" xfId="0" applyFont="1" applyFill="1" applyBorder="1"/>
    <xf numFmtId="0" fontId="27" fillId="5" borderId="1" xfId="0" applyFont="1" applyFill="1" applyBorder="1" applyAlignment="1">
      <alignment horizontal="right"/>
    </xf>
    <xf numFmtId="0" fontId="28" fillId="0" borderId="0" xfId="0" applyFont="1"/>
    <xf numFmtId="0" fontId="29" fillId="6" borderId="0" xfId="0" applyFont="1" applyFill="1"/>
    <xf numFmtId="0" fontId="0" fillId="0" borderId="0" xfId="0" applyAlignment="1">
      <alignment horizontal="right"/>
    </xf>
    <xf numFmtId="9" fontId="25" fillId="0" borderId="0" xfId="3" applyFont="1" applyAlignment="1">
      <alignment horizontal="right"/>
    </xf>
    <xf numFmtId="0" fontId="27" fillId="5" borderId="4" xfId="0" applyFont="1" applyFill="1" applyBorder="1" applyAlignment="1">
      <alignment horizontal="right"/>
    </xf>
    <xf numFmtId="9" fontId="25" fillId="0" borderId="0" xfId="3" applyFont="1"/>
    <xf numFmtId="0" fontId="29" fillId="0" borderId="0" xfId="0" applyFont="1"/>
    <xf numFmtId="0" fontId="30" fillId="6" borderId="5" xfId="0" applyFont="1" applyFill="1" applyBorder="1" applyAlignment="1">
      <alignment horizontal="left"/>
    </xf>
    <xf numFmtId="169" fontId="10" fillId="0" borderId="0" xfId="4" applyNumberFormat="1" applyAlignment="1">
      <alignment horizontal="right" vertical="center"/>
    </xf>
    <xf numFmtId="168" fontId="7" fillId="0" borderId="11" xfId="0" applyNumberFormat="1" applyFont="1" applyBorder="1"/>
    <xf numFmtId="0" fontId="3" fillId="0" borderId="0" xfId="0" applyFont="1" applyAlignment="1">
      <alignment horizontal="left"/>
    </xf>
    <xf numFmtId="0" fontId="31" fillId="0" borderId="0" xfId="0" applyFont="1"/>
    <xf numFmtId="3" fontId="0" fillId="0" borderId="0" xfId="0" applyNumberFormat="1"/>
    <xf numFmtId="9" fontId="0" fillId="0" borderId="0" xfId="0" applyNumberFormat="1"/>
    <xf numFmtId="9" fontId="3" fillId="0" borderId="0" xfId="0" applyNumberFormat="1" applyFont="1"/>
    <xf numFmtId="9" fontId="0" fillId="0" borderId="0" xfId="3" applyFont="1" applyAlignment="1"/>
    <xf numFmtId="0" fontId="25" fillId="0" borderId="0" xfId="0" applyFont="1"/>
    <xf numFmtId="175" fontId="0" fillId="0" borderId="0" xfId="0" applyNumberFormat="1"/>
    <xf numFmtId="0" fontId="3" fillId="0" borderId="11" xfId="0" applyFont="1" applyBorder="1"/>
    <xf numFmtId="174" fontId="25" fillId="0" borderId="0" xfId="0" applyNumberFormat="1" applyFont="1"/>
    <xf numFmtId="176" fontId="25" fillId="0" borderId="0" xfId="0" applyNumberFormat="1" applyFont="1"/>
    <xf numFmtId="0" fontId="3" fillId="0" borderId="0" xfId="0" applyFont="1" applyAlignment="1">
      <alignment horizontal="right"/>
    </xf>
    <xf numFmtId="175" fontId="0" fillId="0" borderId="12" xfId="0" applyNumberFormat="1" applyBorder="1"/>
    <xf numFmtId="177" fontId="0" fillId="0" borderId="0" xfId="0" applyNumberFormat="1"/>
    <xf numFmtId="0" fontId="3" fillId="0" borderId="12" xfId="0" applyFont="1" applyBorder="1"/>
    <xf numFmtId="0" fontId="0" fillId="0" borderId="12" xfId="0" applyBorder="1" applyAlignment="1">
      <alignment horizontal="right"/>
    </xf>
    <xf numFmtId="10" fontId="25" fillId="0" borderId="0" xfId="3" applyNumberFormat="1" applyFont="1"/>
    <xf numFmtId="0" fontId="32" fillId="0" borderId="0" xfId="0" applyFont="1"/>
    <xf numFmtId="6" fontId="30" fillId="6" borderId="5" xfId="0" applyNumberFormat="1" applyFont="1" applyFill="1" applyBorder="1" applyAlignment="1">
      <alignment horizontal="right"/>
    </xf>
    <xf numFmtId="6" fontId="3" fillId="0" borderId="12" xfId="0" applyNumberFormat="1" applyFont="1" applyBorder="1"/>
    <xf numFmtId="2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6" fontId="0" fillId="0" borderId="0" xfId="0" applyNumberFormat="1" applyAlignment="1">
      <alignment horizontal="left"/>
    </xf>
    <xf numFmtId="177" fontId="32" fillId="0" borderId="0" xfId="0" applyNumberFormat="1" applyFont="1"/>
    <xf numFmtId="175" fontId="32" fillId="0" borderId="0" xfId="0" applyNumberFormat="1" applyFont="1"/>
  </cellXfs>
  <cellStyles count="15">
    <cellStyle name="Bad 2" xfId="7" xr:uid="{00000000-0005-0000-0000-000031000000}"/>
    <cellStyle name="Calculation 2" xfId="10" xr:uid="{00000000-0005-0000-0000-000032000000}"/>
    <cellStyle name="Check Cell 2" xfId="12" xr:uid="{00000000-0005-0000-0000-000033000000}"/>
    <cellStyle name="Comma" xfId="1" builtinId="3"/>
    <cellStyle name="Currency" xfId="2" builtinId="4"/>
    <cellStyle name="Explanatory Text 2" xfId="13" xr:uid="{00000000-0005-0000-0000-000034000000}"/>
    <cellStyle name="Good 2" xfId="6" xr:uid="{00000000-0005-0000-0000-000035000000}"/>
    <cellStyle name="Hyperlink 2" xfId="14" xr:uid="{00000000-0005-0000-0000-000036000000}"/>
    <cellStyle name="Input 2" xfId="9" xr:uid="{00000000-0005-0000-0000-000037000000}"/>
    <cellStyle name="Linked Cell 2" xfId="11" xr:uid="{00000000-0005-0000-0000-000038000000}"/>
    <cellStyle name="Neutral 2" xfId="8" xr:uid="{00000000-0005-0000-0000-000039000000}"/>
    <cellStyle name="Normal" xfId="0" builtinId="0"/>
    <cellStyle name="Normal 2" xfId="4" xr:uid="{00000000-0005-0000-0000-00003A000000}"/>
    <cellStyle name="Note 2" xfId="5" xr:uid="{00000000-0005-0000-0000-00003B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FE4F-DA27-4D19-98DD-39E7A537125F}">
  <dimension ref="A1:Q63"/>
  <sheetViews>
    <sheetView showGridLines="0" topLeftCell="A56" zoomScale="76" zoomScaleNormal="100" workbookViewId="0">
      <selection activeCell="A18" sqref="A18"/>
    </sheetView>
  </sheetViews>
  <sheetFormatPr defaultColWidth="0" defaultRowHeight="15" x14ac:dyDescent="0.25"/>
  <cols>
    <col min="1" max="1" width="16.85546875" customWidth="1"/>
    <col min="2" max="2" width="20.42578125" customWidth="1"/>
    <col min="3" max="3" width="21.7109375" customWidth="1"/>
    <col min="4" max="4" width="14.5703125" bestFit="1" customWidth="1"/>
    <col min="5" max="5" width="14" customWidth="1"/>
    <col min="6" max="6" width="15.5703125" bestFit="1" customWidth="1"/>
    <col min="7" max="7" width="17.140625" customWidth="1"/>
    <col min="8" max="8" width="13.140625" customWidth="1"/>
    <col min="9" max="9" width="13.140625" bestFit="1" customWidth="1"/>
    <col min="10" max="17" width="9.42578125" customWidth="1"/>
    <col min="18" max="16384" width="8.85546875" hidden="1"/>
  </cols>
  <sheetData>
    <row r="1" spans="1:7" ht="19.5" x14ac:dyDescent="0.3">
      <c r="A1" s="19" t="s">
        <v>0</v>
      </c>
    </row>
    <row r="3" spans="1:7" x14ac:dyDescent="0.25">
      <c r="A3" t="s">
        <v>1</v>
      </c>
      <c r="G3" s="44"/>
    </row>
    <row r="4" spans="1:7" x14ac:dyDescent="0.25">
      <c r="A4" t="s">
        <v>2</v>
      </c>
      <c r="D4" s="44"/>
    </row>
    <row r="5" spans="1:7" x14ac:dyDescent="0.25">
      <c r="A5" t="s">
        <v>3</v>
      </c>
      <c r="D5" s="44"/>
    </row>
    <row r="6" spans="1:7" x14ac:dyDescent="0.25">
      <c r="A6" t="s">
        <v>4</v>
      </c>
    </row>
    <row r="8" spans="1:7" x14ac:dyDescent="0.25">
      <c r="A8" s="4" t="s">
        <v>5</v>
      </c>
      <c r="B8" s="5"/>
      <c r="C8" s="32"/>
      <c r="D8" s="6"/>
    </row>
    <row r="9" spans="1:7" x14ac:dyDescent="0.25">
      <c r="A9" s="21" t="s">
        <v>6</v>
      </c>
      <c r="B9" s="22">
        <v>44197</v>
      </c>
      <c r="C9" s="20"/>
    </row>
    <row r="10" spans="1:7" x14ac:dyDescent="0.25">
      <c r="A10" s="21" t="s">
        <v>7</v>
      </c>
      <c r="B10" s="23" t="s">
        <v>8</v>
      </c>
      <c r="C10" s="20" t="s">
        <v>9</v>
      </c>
    </row>
    <row r="11" spans="1:7" x14ac:dyDescent="0.25">
      <c r="A11" s="21" t="s">
        <v>10</v>
      </c>
      <c r="B11" s="21" t="s">
        <v>11</v>
      </c>
      <c r="C11" s="20"/>
    </row>
    <row r="12" spans="1:7" x14ac:dyDescent="0.25">
      <c r="A12" s="45" t="s">
        <v>12</v>
      </c>
      <c r="B12" s="25">
        <v>7.4999999999999997E-2</v>
      </c>
      <c r="C12" s="20" t="s">
        <v>13</v>
      </c>
    </row>
    <row r="13" spans="1:7" x14ac:dyDescent="0.25">
      <c r="A13" s="21" t="s">
        <v>14</v>
      </c>
      <c r="B13" s="24">
        <v>0.02</v>
      </c>
      <c r="C13" t="s">
        <v>15</v>
      </c>
    </row>
    <row r="15" spans="1:7" x14ac:dyDescent="0.25">
      <c r="A15" s="4" t="s">
        <v>16</v>
      </c>
      <c r="B15" s="5"/>
    </row>
    <row r="16" spans="1:7" x14ac:dyDescent="0.25">
      <c r="A16" s="21" t="s">
        <v>17</v>
      </c>
      <c r="B16" s="22">
        <v>44197</v>
      </c>
    </row>
    <row r="17" spans="1:17" x14ac:dyDescent="0.25">
      <c r="A17" s="21" t="s">
        <v>18</v>
      </c>
      <c r="B17" s="23" t="s">
        <v>8</v>
      </c>
    </row>
    <row r="18" spans="1:17" x14ac:dyDescent="0.25">
      <c r="A18" s="21" t="s">
        <v>19</v>
      </c>
      <c r="B18" s="24">
        <v>0.75</v>
      </c>
      <c r="C18" t="s">
        <v>20</v>
      </c>
    </row>
    <row r="19" spans="1:17" x14ac:dyDescent="0.25">
      <c r="A19" s="21" t="s">
        <v>21</v>
      </c>
      <c r="B19" s="25">
        <v>0.04</v>
      </c>
    </row>
    <row r="20" spans="1:17" x14ac:dyDescent="0.25">
      <c r="A20" s="21" t="s">
        <v>22</v>
      </c>
      <c r="B20" s="24">
        <v>0.01</v>
      </c>
    </row>
    <row r="21" spans="1:17" x14ac:dyDescent="0.25">
      <c r="A21" s="21" t="s">
        <v>23</v>
      </c>
      <c r="B21" s="23" t="s">
        <v>24</v>
      </c>
      <c r="C21" t="s">
        <v>25</v>
      </c>
    </row>
    <row r="23" spans="1:17" x14ac:dyDescent="0.25">
      <c r="A23" s="4" t="s">
        <v>26</v>
      </c>
      <c r="B23" s="5"/>
    </row>
    <row r="24" spans="1:17" x14ac:dyDescent="0.25">
      <c r="A24" t="s">
        <v>27</v>
      </c>
    </row>
    <row r="25" spans="1:17" x14ac:dyDescent="0.25">
      <c r="A25" t="s">
        <v>28</v>
      </c>
    </row>
    <row r="26" spans="1:17" x14ac:dyDescent="0.25">
      <c r="A26" s="44" t="s">
        <v>29</v>
      </c>
      <c r="D26" s="44"/>
    </row>
    <row r="27" spans="1:17" x14ac:dyDescent="0.25">
      <c r="A27" t="s">
        <v>30</v>
      </c>
    </row>
    <row r="29" spans="1:17" x14ac:dyDescent="0.25">
      <c r="A29" s="4" t="s">
        <v>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  <c r="N29" s="6"/>
      <c r="O29" s="6"/>
      <c r="P29" s="6"/>
      <c r="Q29" s="6"/>
    </row>
    <row r="30" spans="1:17" x14ac:dyDescent="0.25">
      <c r="A30" s="10" t="s">
        <v>32</v>
      </c>
      <c r="B30" s="10" t="s">
        <v>33</v>
      </c>
      <c r="C30" s="10" t="s">
        <v>34</v>
      </c>
      <c r="D30" s="11" t="s">
        <v>35</v>
      </c>
      <c r="E30" s="11" t="s">
        <v>36</v>
      </c>
      <c r="F30" s="10" t="s">
        <v>37</v>
      </c>
      <c r="G30" s="10" t="s">
        <v>38</v>
      </c>
      <c r="H30" s="10" t="s">
        <v>39</v>
      </c>
      <c r="I30" s="10" t="s">
        <v>40</v>
      </c>
      <c r="J30" s="10"/>
      <c r="K30" s="10"/>
      <c r="L30" s="10"/>
    </row>
    <row r="31" spans="1:17" x14ac:dyDescent="0.25">
      <c r="A31" s="10"/>
      <c r="B31" s="10" t="s">
        <v>41</v>
      </c>
      <c r="C31" s="10"/>
      <c r="D31" s="11" t="s">
        <v>42</v>
      </c>
      <c r="E31" s="11" t="s">
        <v>42</v>
      </c>
      <c r="F31" s="10" t="s">
        <v>43</v>
      </c>
      <c r="G31" s="10" t="s">
        <v>42</v>
      </c>
      <c r="H31" s="10" t="s">
        <v>44</v>
      </c>
      <c r="I31" s="10"/>
      <c r="J31" s="10"/>
      <c r="K31" s="10"/>
      <c r="L31" s="10"/>
    </row>
    <row r="32" spans="1:17" x14ac:dyDescent="0.25">
      <c r="A32" s="2">
        <v>1001</v>
      </c>
      <c r="B32" s="3">
        <v>10000</v>
      </c>
      <c r="C32" s="2" t="s">
        <v>45</v>
      </c>
      <c r="D32" s="12">
        <v>43160</v>
      </c>
      <c r="E32" s="12">
        <f>EOMONTH(D32,120)</f>
        <v>46843</v>
      </c>
      <c r="F32" s="15">
        <v>12.15</v>
      </c>
      <c r="G32" s="12">
        <v>44197</v>
      </c>
      <c r="H32" s="13">
        <v>0.03</v>
      </c>
      <c r="I32" s="17" t="s">
        <v>46</v>
      </c>
    </row>
    <row r="33" spans="1:12" x14ac:dyDescent="0.25">
      <c r="A33" s="2">
        <v>1002</v>
      </c>
      <c r="B33" s="3">
        <v>10000</v>
      </c>
      <c r="C33" s="2" t="s">
        <v>45</v>
      </c>
      <c r="D33" s="12">
        <v>43617</v>
      </c>
      <c r="E33" s="12">
        <f t="shared" ref="E33:E36" si="0">EOMONTH(D33,120)</f>
        <v>47299</v>
      </c>
      <c r="F33" s="15">
        <v>11.5</v>
      </c>
      <c r="G33" s="12">
        <v>44197</v>
      </c>
      <c r="H33" s="13">
        <v>0.03</v>
      </c>
      <c r="I33" s="17" t="s">
        <v>46</v>
      </c>
    </row>
    <row r="34" spans="1:12" x14ac:dyDescent="0.25">
      <c r="A34" s="2">
        <v>1003</v>
      </c>
      <c r="B34" s="3">
        <v>15000</v>
      </c>
      <c r="C34" s="2" t="s">
        <v>45</v>
      </c>
      <c r="D34" s="12">
        <v>43831</v>
      </c>
      <c r="E34" s="12">
        <f t="shared" si="0"/>
        <v>47514</v>
      </c>
      <c r="F34" s="15">
        <v>10.75</v>
      </c>
      <c r="G34" s="12">
        <v>44197</v>
      </c>
      <c r="H34" s="13">
        <v>0.03</v>
      </c>
      <c r="I34" s="17" t="s">
        <v>46</v>
      </c>
    </row>
    <row r="35" spans="1:12" x14ac:dyDescent="0.25">
      <c r="A35" s="2">
        <v>1004</v>
      </c>
      <c r="B35" s="3">
        <v>5000</v>
      </c>
      <c r="C35" s="2" t="s">
        <v>45</v>
      </c>
      <c r="D35" s="12">
        <v>43160</v>
      </c>
      <c r="E35" s="12">
        <f t="shared" si="0"/>
        <v>46843</v>
      </c>
      <c r="F35" s="16">
        <v>12</v>
      </c>
      <c r="G35" s="12">
        <v>44197</v>
      </c>
      <c r="H35" s="13">
        <v>0.05</v>
      </c>
      <c r="I35" s="17" t="s">
        <v>46</v>
      </c>
    </row>
    <row r="36" spans="1:12" x14ac:dyDescent="0.25">
      <c r="A36" s="2">
        <v>1005</v>
      </c>
      <c r="B36" s="3">
        <v>10000</v>
      </c>
      <c r="C36" s="2" t="s">
        <v>45</v>
      </c>
      <c r="D36" s="12">
        <v>43617</v>
      </c>
      <c r="E36" s="12">
        <f t="shared" si="0"/>
        <v>47299</v>
      </c>
      <c r="F36" s="16">
        <v>12</v>
      </c>
      <c r="G36" s="12">
        <v>44197</v>
      </c>
      <c r="H36" s="13">
        <v>0.05</v>
      </c>
      <c r="I36" s="17" t="s">
        <v>46</v>
      </c>
    </row>
    <row r="37" spans="1:12" x14ac:dyDescent="0.25">
      <c r="A37" s="2">
        <v>1006</v>
      </c>
      <c r="B37" s="3">
        <v>6000</v>
      </c>
      <c r="C37" s="2" t="s">
        <v>47</v>
      </c>
      <c r="D37" s="40"/>
      <c r="E37" s="40"/>
      <c r="F37" s="42"/>
      <c r="G37" s="2"/>
      <c r="I37" s="43"/>
    </row>
    <row r="38" spans="1:12" x14ac:dyDescent="0.25">
      <c r="A38" s="7" t="s">
        <v>48</v>
      </c>
      <c r="B38" s="8">
        <f>SUM(B32:B37)</f>
        <v>56000</v>
      </c>
      <c r="C38" s="7"/>
      <c r="D38" s="7"/>
      <c r="E38" s="7"/>
      <c r="F38" s="26">
        <f>SUMPRODUCT(F32:F36,B32:B36)/B38</f>
        <v>10.316964285714286</v>
      </c>
      <c r="G38" s="9"/>
      <c r="H38" s="14"/>
      <c r="I38" s="18"/>
      <c r="J38" s="14"/>
      <c r="K38" s="14"/>
      <c r="L38" s="14"/>
    </row>
    <row r="39" spans="1:12" x14ac:dyDescent="0.25">
      <c r="A39" s="40"/>
      <c r="B39" s="41"/>
      <c r="C39" s="40"/>
      <c r="D39" s="40"/>
      <c r="E39" s="40"/>
      <c r="F39" s="42"/>
      <c r="G39" s="2"/>
      <c r="I39" s="43"/>
    </row>
    <row r="40" spans="1:12" x14ac:dyDescent="0.25">
      <c r="A40" s="2"/>
      <c r="B40" s="2"/>
      <c r="C40" s="2"/>
      <c r="D40" s="2"/>
      <c r="E40" s="2"/>
      <c r="F40" s="2"/>
    </row>
    <row r="41" spans="1:12" x14ac:dyDescent="0.25">
      <c r="A41" s="2"/>
      <c r="B41" s="2"/>
      <c r="C41" s="2"/>
      <c r="D41" s="2"/>
      <c r="E41" s="2"/>
      <c r="F41" s="2"/>
    </row>
    <row r="42" spans="1:12" x14ac:dyDescent="0.25">
      <c r="A42" s="4" t="s">
        <v>49</v>
      </c>
      <c r="B42" s="5"/>
      <c r="C42" s="2"/>
      <c r="D42" s="2"/>
      <c r="E42" s="2"/>
      <c r="F42" s="2"/>
    </row>
    <row r="43" spans="1:12" x14ac:dyDescent="0.25">
      <c r="A43" t="s">
        <v>50</v>
      </c>
      <c r="D43" s="2"/>
      <c r="E43" s="2"/>
      <c r="F43" s="2"/>
      <c r="G43" s="2"/>
    </row>
    <row r="44" spans="1:12" x14ac:dyDescent="0.25">
      <c r="A44" t="s">
        <v>51</v>
      </c>
    </row>
    <row r="46" spans="1:12" x14ac:dyDescent="0.25">
      <c r="A46" s="4" t="s">
        <v>49</v>
      </c>
      <c r="B46" s="5"/>
    </row>
    <row r="47" spans="1:12" x14ac:dyDescent="0.25">
      <c r="A47" s="28" t="s">
        <v>52</v>
      </c>
      <c r="B47" s="10" t="s">
        <v>53</v>
      </c>
    </row>
    <row r="48" spans="1:12" x14ac:dyDescent="0.25">
      <c r="A48" t="s">
        <v>54</v>
      </c>
      <c r="B48" s="29">
        <v>25000</v>
      </c>
    </row>
    <row r="49" spans="1:4" x14ac:dyDescent="0.25">
      <c r="A49" t="s">
        <v>55</v>
      </c>
      <c r="B49" s="29">
        <v>75000</v>
      </c>
      <c r="D49" s="99" t="s">
        <v>115</v>
      </c>
    </row>
    <row r="50" spans="1:4" x14ac:dyDescent="0.25">
      <c r="A50" t="s">
        <v>56</v>
      </c>
      <c r="B50" s="29">
        <v>25000</v>
      </c>
    </row>
    <row r="51" spans="1:4" x14ac:dyDescent="0.25">
      <c r="A51" t="s">
        <v>57</v>
      </c>
      <c r="B51" s="29">
        <v>20000</v>
      </c>
    </row>
    <row r="52" spans="1:4" x14ac:dyDescent="0.25">
      <c r="A52" t="s">
        <v>58</v>
      </c>
      <c r="B52" s="29">
        <v>45000</v>
      </c>
    </row>
    <row r="53" spans="1:4" x14ac:dyDescent="0.25">
      <c r="A53" s="31" t="s">
        <v>48</v>
      </c>
      <c r="B53" s="30">
        <f>SUM(B48:B52)</f>
        <v>190000</v>
      </c>
    </row>
    <row r="56" spans="1:4" x14ac:dyDescent="0.25">
      <c r="A56" s="4" t="s">
        <v>59</v>
      </c>
      <c r="B56" s="5"/>
    </row>
    <row r="57" spans="1:4" x14ac:dyDescent="0.25">
      <c r="A57" s="10" t="s">
        <v>60</v>
      </c>
      <c r="B57" s="10" t="s">
        <v>61</v>
      </c>
    </row>
    <row r="58" spans="1:4" x14ac:dyDescent="0.25">
      <c r="A58" s="10"/>
      <c r="B58" s="10" t="s">
        <v>62</v>
      </c>
    </row>
    <row r="59" spans="1:4" x14ac:dyDescent="0.25">
      <c r="A59" s="2">
        <v>2021</v>
      </c>
      <c r="B59" s="15">
        <v>2</v>
      </c>
    </row>
    <row r="60" spans="1:4" x14ac:dyDescent="0.25">
      <c r="A60" s="2">
        <v>2022</v>
      </c>
      <c r="B60" s="27">
        <v>1.25</v>
      </c>
    </row>
    <row r="61" spans="1:4" x14ac:dyDescent="0.25">
      <c r="A61" s="2">
        <v>2023</v>
      </c>
      <c r="B61" s="27">
        <v>1</v>
      </c>
    </row>
    <row r="62" spans="1:4" x14ac:dyDescent="0.25">
      <c r="A62" s="2">
        <v>2024</v>
      </c>
      <c r="B62" s="27">
        <v>1</v>
      </c>
    </row>
    <row r="63" spans="1:4" x14ac:dyDescent="0.25">
      <c r="A63" s="2">
        <v>2025</v>
      </c>
      <c r="B63" s="27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E71C-EB96-4B80-B7FA-0C03CDE56540}">
  <dimension ref="A3:K22"/>
  <sheetViews>
    <sheetView showGridLines="0" workbookViewId="0">
      <selection activeCell="D26" sqref="D26"/>
    </sheetView>
  </sheetViews>
  <sheetFormatPr defaultColWidth="8.85546875" defaultRowHeight="12.75" x14ac:dyDescent="0.2"/>
  <cols>
    <col min="1" max="1" width="19.42578125" style="33" customWidth="1"/>
    <col min="2" max="3" width="15.85546875" style="33" customWidth="1"/>
    <col min="4" max="4" width="14.140625" style="33" customWidth="1"/>
    <col min="5" max="7" width="8.85546875" style="33"/>
    <col min="8" max="8" width="10.42578125" style="33" bestFit="1" customWidth="1"/>
    <col min="9" max="16384" width="8.85546875" style="33"/>
  </cols>
  <sheetData>
    <row r="3" spans="1:11" ht="15.75" x14ac:dyDescent="0.25">
      <c r="A3" s="34" t="s">
        <v>63</v>
      </c>
    </row>
    <row r="5" spans="1:11" ht="15" x14ac:dyDescent="0.25">
      <c r="A5" t="s">
        <v>64</v>
      </c>
      <c r="B5"/>
      <c r="C5" s="29">
        <f>5*10^6</f>
        <v>5000000</v>
      </c>
      <c r="D5"/>
      <c r="E5"/>
      <c r="F5"/>
      <c r="G5"/>
      <c r="H5"/>
      <c r="I5"/>
      <c r="J5"/>
      <c r="K5"/>
    </row>
    <row r="6" spans="1:11" ht="15" x14ac:dyDescent="0.25">
      <c r="A6" t="s">
        <v>65</v>
      </c>
      <c r="B6"/>
      <c r="C6" s="29">
        <f>'Yearly Cashflow'!H9/'Case Study'!B12</f>
        <v>9752109.1170333344</v>
      </c>
      <c r="D6"/>
      <c r="E6"/>
      <c r="F6"/>
      <c r="G6"/>
      <c r="H6"/>
      <c r="I6"/>
      <c r="J6"/>
      <c r="K6"/>
    </row>
    <row r="7" spans="1:11" ht="15" x14ac:dyDescent="0.25">
      <c r="A7" t="s">
        <v>66</v>
      </c>
      <c r="B7"/>
      <c r="C7" s="29">
        <f>'Yearly Cashflow'!H13</f>
        <v>681408.18377750006</v>
      </c>
      <c r="D7"/>
      <c r="E7"/>
      <c r="F7"/>
      <c r="G7"/>
      <c r="H7"/>
      <c r="I7"/>
      <c r="J7"/>
      <c r="K7"/>
    </row>
    <row r="8" spans="1:11" ht="15" x14ac:dyDescent="0.25">
      <c r="A8" t="s">
        <v>67</v>
      </c>
      <c r="B8"/>
      <c r="C8" s="29">
        <f>'Yearly Cashflow'!H17</f>
        <v>443881.60564350028</v>
      </c>
      <c r="D8"/>
      <c r="E8"/>
      <c r="F8"/>
      <c r="G8"/>
      <c r="H8"/>
      <c r="I8"/>
      <c r="J8"/>
      <c r="K8"/>
    </row>
    <row r="9" spans="1:11" ht="15" x14ac:dyDescent="0.25">
      <c r="A9"/>
      <c r="B9"/>
      <c r="C9"/>
      <c r="D9" s="67"/>
      <c r="E9"/>
      <c r="F9"/>
      <c r="G9"/>
      <c r="H9"/>
      <c r="I9"/>
      <c r="J9"/>
      <c r="K9"/>
    </row>
    <row r="10" spans="1:11" ht="15" x14ac:dyDescent="0.25">
      <c r="A10" s="68" t="s">
        <v>68</v>
      </c>
      <c r="B10" s="69"/>
      <c r="C10" s="69"/>
      <c r="D10"/>
      <c r="E10" s="68" t="s">
        <v>69</v>
      </c>
      <c r="F10" s="68"/>
      <c r="G10" s="68"/>
      <c r="H10" s="68"/>
      <c r="I10"/>
      <c r="J10"/>
      <c r="K10"/>
    </row>
    <row r="11" spans="1:11" ht="15" x14ac:dyDescent="0.25">
      <c r="A11" s="70" t="s">
        <v>70</v>
      </c>
      <c r="B11" s="71" t="s">
        <v>48</v>
      </c>
      <c r="C11" s="71" t="s">
        <v>71</v>
      </c>
      <c r="D11"/>
      <c r="E11" s="72" t="s">
        <v>72</v>
      </c>
      <c r="F11"/>
      <c r="G11"/>
      <c r="H11" s="102">
        <f>('Yearly Cashflow'!D17+'Yearly Cashflow'!E17+'Yearly Cashflow'!F17+'Yearly Cashflow'!G17+'Yearly Cashflow'!H17+'Yearly Cashflow'!H18)/Dashboard!B13</f>
        <v>9.3364328235126681</v>
      </c>
      <c r="I11"/>
      <c r="J11"/>
      <c r="K11"/>
    </row>
    <row r="12" spans="1:11" ht="15" x14ac:dyDescent="0.25">
      <c r="A12" s="73" t="s">
        <v>73</v>
      </c>
      <c r="B12" s="29">
        <f>C12*$C$5</f>
        <v>3750000</v>
      </c>
      <c r="C12" s="75">
        <v>0.75</v>
      </c>
      <c r="D12"/>
      <c r="E12" t="s">
        <v>74</v>
      </c>
      <c r="F12"/>
      <c r="G12"/>
      <c r="H12" s="103">
        <f>IRR('Yearly Cashflow'!D20:H20)</f>
        <v>0.26649991432935316</v>
      </c>
      <c r="I12"/>
      <c r="J12"/>
      <c r="K12"/>
    </row>
    <row r="13" spans="1:11" ht="15" x14ac:dyDescent="0.25">
      <c r="A13" s="73" t="s">
        <v>75</v>
      </c>
      <c r="B13" s="29">
        <f>C13*$C$5</f>
        <v>1250000</v>
      </c>
      <c r="C13" s="75">
        <f>1-C12</f>
        <v>0.25</v>
      </c>
      <c r="D13"/>
      <c r="E13" s="72" t="s">
        <v>76</v>
      </c>
      <c r="F13"/>
      <c r="G13"/>
      <c r="H13" s="104">
        <f>SUM('Yearly Cashflow'!D17:H17)</f>
        <v>1918431.9123575015</v>
      </c>
      <c r="I13" s="99" t="s">
        <v>116</v>
      </c>
      <c r="J13"/>
      <c r="K13"/>
    </row>
    <row r="14" spans="1:11" ht="15.75" thickBot="1" x14ac:dyDescent="0.3">
      <c r="A14" s="96" t="s">
        <v>48</v>
      </c>
      <c r="B14" s="101">
        <f>SUM(B12:B13)</f>
        <v>5000000</v>
      </c>
      <c r="C14" s="97"/>
      <c r="D14"/>
      <c r="E14" t="s">
        <v>77</v>
      </c>
      <c r="F14"/>
      <c r="G14"/>
      <c r="H14" s="102">
        <f>'Yearly Cashflow'!H17/Dashboard!B13</f>
        <v>0.35510528451480022</v>
      </c>
      <c r="I14"/>
      <c r="J14"/>
      <c r="K14"/>
    </row>
    <row r="15" spans="1:11" ht="15.75" thickTop="1" x14ac:dyDescent="0.25">
      <c r="A15"/>
      <c r="B15" s="74"/>
      <c r="C15" s="74"/>
      <c r="D15"/>
      <c r="E15"/>
      <c r="F15"/>
      <c r="G15"/>
      <c r="H15" s="29"/>
      <c r="I15"/>
      <c r="J15"/>
      <c r="K15"/>
    </row>
    <row r="16" spans="1:11" ht="15" x14ac:dyDescent="0.25">
      <c r="A16" s="70" t="s">
        <v>78</v>
      </c>
      <c r="B16" s="71" t="s">
        <v>48</v>
      </c>
      <c r="C16" s="76" t="s">
        <v>71</v>
      </c>
      <c r="D16"/>
      <c r="E16"/>
      <c r="F16"/>
      <c r="G16"/>
      <c r="H16" s="29"/>
      <c r="I16"/>
      <c r="J16"/>
      <c r="K16"/>
    </row>
    <row r="17" spans="1:11" ht="15" x14ac:dyDescent="0.25">
      <c r="A17" s="73" t="s">
        <v>79</v>
      </c>
      <c r="B17" s="29">
        <f>C17*C5</f>
        <v>35000</v>
      </c>
      <c r="C17" s="98">
        <v>7.0000000000000001E-3</v>
      </c>
      <c r="D17" s="99" t="s">
        <v>114</v>
      </c>
      <c r="E17"/>
      <c r="F17"/>
      <c r="G17"/>
      <c r="H17"/>
      <c r="I17"/>
      <c r="J17"/>
      <c r="K17"/>
    </row>
    <row r="18" spans="1:11" ht="15" x14ac:dyDescent="0.25">
      <c r="A18" s="73" t="s">
        <v>80</v>
      </c>
      <c r="B18" s="29">
        <f>C18*B12</f>
        <v>37500</v>
      </c>
      <c r="C18" s="77">
        <v>0.01</v>
      </c>
      <c r="D18"/>
      <c r="E18"/>
      <c r="F18"/>
      <c r="G18"/>
      <c r="H18"/>
      <c r="I18"/>
      <c r="J18"/>
      <c r="K18"/>
    </row>
    <row r="19" spans="1:11" ht="15" x14ac:dyDescent="0.25">
      <c r="A19" s="78" t="s">
        <v>59</v>
      </c>
      <c r="B19" s="29">
        <f>SUM('Yearly Cashflow'!D11:H11)</f>
        <v>312500</v>
      </c>
      <c r="C19"/>
      <c r="D19"/>
      <c r="E19"/>
      <c r="F19"/>
      <c r="G19"/>
      <c r="H19"/>
      <c r="I19"/>
      <c r="J19"/>
      <c r="K19"/>
    </row>
    <row r="20" spans="1:11" ht="15.75" thickBot="1" x14ac:dyDescent="0.3">
      <c r="A20" s="79" t="s">
        <v>48</v>
      </c>
      <c r="B20" s="100">
        <f>SUM(B17:B19)</f>
        <v>385000</v>
      </c>
      <c r="C20" s="79"/>
      <c r="D20"/>
      <c r="E20"/>
      <c r="F20"/>
      <c r="G20"/>
      <c r="H20"/>
      <c r="I20"/>
      <c r="J20"/>
      <c r="K20"/>
    </row>
    <row r="21" spans="1:11" ht="15" x14ac:dyDescent="0.25">
      <c r="A21"/>
      <c r="B21"/>
      <c r="C21"/>
      <c r="D21"/>
      <c r="E21"/>
      <c r="F21"/>
      <c r="G21"/>
      <c r="H21"/>
      <c r="I21"/>
      <c r="J21"/>
      <c r="K21"/>
    </row>
    <row r="22" spans="1:11" ht="15" x14ac:dyDescent="0.25">
      <c r="A22"/>
      <c r="B22"/>
      <c r="C22"/>
      <c r="D22"/>
      <c r="E22"/>
      <c r="F22"/>
      <c r="G22"/>
      <c r="H22"/>
      <c r="I22"/>
      <c r="J22"/>
      <c r="K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B887-66D1-4053-8FDE-5ABBE821F1FB}">
  <dimension ref="A1:BP38"/>
  <sheetViews>
    <sheetView showGridLines="0" zoomScale="91" zoomScaleNormal="100" workbookViewId="0">
      <pane ySplit="3" topLeftCell="A11" activePane="bottomLeft" state="frozen"/>
      <selection pane="bottomLeft" activeCell="E13" sqref="E13"/>
    </sheetView>
  </sheetViews>
  <sheetFormatPr defaultColWidth="0" defaultRowHeight="15" x14ac:dyDescent="0.25"/>
  <cols>
    <col min="1" max="1" width="21.5703125" bestFit="1" customWidth="1"/>
    <col min="2" max="3" width="10.85546875" bestFit="1" customWidth="1"/>
    <col min="4" max="4" width="44.140625" bestFit="1" customWidth="1"/>
    <col min="5" max="5" width="12.140625" bestFit="1" customWidth="1"/>
    <col min="6" max="7" width="12.42578125" customWidth="1"/>
    <col min="8" max="8" width="17.5703125" style="61" bestFit="1" customWidth="1"/>
    <col min="9" max="68" width="10.42578125" style="61" bestFit="1" customWidth="1"/>
    <col min="69" max="16384" width="8.85546875" hidden="1"/>
  </cols>
  <sheetData>
    <row r="1" spans="1:68" x14ac:dyDescent="0.25">
      <c r="A1" s="1" t="s">
        <v>81</v>
      </c>
      <c r="B1" s="38">
        <v>44197</v>
      </c>
      <c r="D1" s="82" t="s">
        <v>117</v>
      </c>
      <c r="E1" s="89">
        <f>'Case Study'!B48+'Case Study'!B49+'Case Study'!B50</f>
        <v>125000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</row>
    <row r="2" spans="1:68" x14ac:dyDescent="0.25">
      <c r="A2" s="1" t="s">
        <v>111</v>
      </c>
      <c r="B2" s="92">
        <v>12</v>
      </c>
      <c r="D2" s="1" t="s">
        <v>103</v>
      </c>
      <c r="E2" s="77">
        <v>0.02</v>
      </c>
      <c r="H2" s="35">
        <f>B1</f>
        <v>44197</v>
      </c>
      <c r="I2" s="36">
        <f>EOMONTH(H2,0)</f>
        <v>44227</v>
      </c>
      <c r="J2" s="36">
        <f>EOMONTH(I2,1)</f>
        <v>44255</v>
      </c>
      <c r="K2" s="36">
        <f>EOMONTH(J2,1)</f>
        <v>44286</v>
      </c>
      <c r="L2" s="36">
        <f t="shared" ref="L2:BP2" si="0">EOMONTH(K2,1)</f>
        <v>44316</v>
      </c>
      <c r="M2" s="36">
        <f t="shared" si="0"/>
        <v>44347</v>
      </c>
      <c r="N2" s="36">
        <f t="shared" si="0"/>
        <v>44377</v>
      </c>
      <c r="O2" s="36">
        <f t="shared" si="0"/>
        <v>44408</v>
      </c>
      <c r="P2" s="36">
        <f t="shared" si="0"/>
        <v>44439</v>
      </c>
      <c r="Q2" s="36">
        <f t="shared" si="0"/>
        <v>44469</v>
      </c>
      <c r="R2" s="36">
        <f t="shared" si="0"/>
        <v>44500</v>
      </c>
      <c r="S2" s="36">
        <f t="shared" si="0"/>
        <v>44530</v>
      </c>
      <c r="T2" s="36">
        <f t="shared" si="0"/>
        <v>44561</v>
      </c>
      <c r="U2" s="36">
        <f t="shared" si="0"/>
        <v>44592</v>
      </c>
      <c r="V2" s="36">
        <f t="shared" si="0"/>
        <v>44620</v>
      </c>
      <c r="W2" s="36">
        <f t="shared" si="0"/>
        <v>44651</v>
      </c>
      <c r="X2" s="36">
        <f t="shared" si="0"/>
        <v>44681</v>
      </c>
      <c r="Y2" s="36">
        <f t="shared" si="0"/>
        <v>44712</v>
      </c>
      <c r="Z2" s="36">
        <f t="shared" si="0"/>
        <v>44742</v>
      </c>
      <c r="AA2" s="36">
        <f t="shared" si="0"/>
        <v>44773</v>
      </c>
      <c r="AB2" s="36">
        <f t="shared" si="0"/>
        <v>44804</v>
      </c>
      <c r="AC2" s="36">
        <f t="shared" si="0"/>
        <v>44834</v>
      </c>
      <c r="AD2" s="36">
        <f t="shared" si="0"/>
        <v>44865</v>
      </c>
      <c r="AE2" s="36">
        <f t="shared" si="0"/>
        <v>44895</v>
      </c>
      <c r="AF2" s="36">
        <f t="shared" si="0"/>
        <v>44926</v>
      </c>
      <c r="AG2" s="36">
        <f t="shared" si="0"/>
        <v>44957</v>
      </c>
      <c r="AH2" s="36">
        <f t="shared" si="0"/>
        <v>44985</v>
      </c>
      <c r="AI2" s="36">
        <f t="shared" si="0"/>
        <v>45016</v>
      </c>
      <c r="AJ2" s="36">
        <f t="shared" si="0"/>
        <v>45046</v>
      </c>
      <c r="AK2" s="36">
        <f t="shared" si="0"/>
        <v>45077</v>
      </c>
      <c r="AL2" s="36">
        <f t="shared" si="0"/>
        <v>45107</v>
      </c>
      <c r="AM2" s="36">
        <f t="shared" si="0"/>
        <v>45138</v>
      </c>
      <c r="AN2" s="36">
        <f t="shared" si="0"/>
        <v>45169</v>
      </c>
      <c r="AO2" s="36">
        <f t="shared" si="0"/>
        <v>45199</v>
      </c>
      <c r="AP2" s="36">
        <f t="shared" si="0"/>
        <v>45230</v>
      </c>
      <c r="AQ2" s="36">
        <f t="shared" si="0"/>
        <v>45260</v>
      </c>
      <c r="AR2" s="36">
        <f t="shared" si="0"/>
        <v>45291</v>
      </c>
      <c r="AS2" s="36">
        <f t="shared" si="0"/>
        <v>45322</v>
      </c>
      <c r="AT2" s="36">
        <f t="shared" si="0"/>
        <v>45351</v>
      </c>
      <c r="AU2" s="36">
        <f t="shared" si="0"/>
        <v>45382</v>
      </c>
      <c r="AV2" s="36">
        <f t="shared" si="0"/>
        <v>45412</v>
      </c>
      <c r="AW2" s="36">
        <f t="shared" si="0"/>
        <v>45443</v>
      </c>
      <c r="AX2" s="36">
        <f t="shared" si="0"/>
        <v>45473</v>
      </c>
      <c r="AY2" s="36">
        <f t="shared" si="0"/>
        <v>45504</v>
      </c>
      <c r="AZ2" s="36">
        <f t="shared" si="0"/>
        <v>45535</v>
      </c>
      <c r="BA2" s="36">
        <f t="shared" si="0"/>
        <v>45565</v>
      </c>
      <c r="BB2" s="36">
        <f t="shared" si="0"/>
        <v>45596</v>
      </c>
      <c r="BC2" s="36">
        <f t="shared" si="0"/>
        <v>45626</v>
      </c>
      <c r="BD2" s="36">
        <f t="shared" si="0"/>
        <v>45657</v>
      </c>
      <c r="BE2" s="36">
        <f t="shared" si="0"/>
        <v>45688</v>
      </c>
      <c r="BF2" s="36">
        <f t="shared" si="0"/>
        <v>45716</v>
      </c>
      <c r="BG2" s="36">
        <f t="shared" si="0"/>
        <v>45747</v>
      </c>
      <c r="BH2" s="36">
        <f t="shared" si="0"/>
        <v>45777</v>
      </c>
      <c r="BI2" s="36">
        <f t="shared" si="0"/>
        <v>45808</v>
      </c>
      <c r="BJ2" s="36">
        <f t="shared" si="0"/>
        <v>45838</v>
      </c>
      <c r="BK2" s="36">
        <f t="shared" si="0"/>
        <v>45869</v>
      </c>
      <c r="BL2" s="36">
        <f t="shared" si="0"/>
        <v>45900</v>
      </c>
      <c r="BM2" s="36">
        <f t="shared" si="0"/>
        <v>45930</v>
      </c>
      <c r="BN2" s="36">
        <f t="shared" si="0"/>
        <v>45961</v>
      </c>
      <c r="BO2" s="36">
        <f t="shared" si="0"/>
        <v>45991</v>
      </c>
      <c r="BP2" s="36">
        <f t="shared" si="0"/>
        <v>46022</v>
      </c>
    </row>
    <row r="3" spans="1:68" x14ac:dyDescent="0.25">
      <c r="A3" s="1"/>
      <c r="D3" s="1" t="s">
        <v>106</v>
      </c>
      <c r="E3" s="91">
        <v>50000</v>
      </c>
      <c r="H3" s="37">
        <v>0</v>
      </c>
      <c r="I3" s="37">
        <v>1</v>
      </c>
      <c r="J3" s="37">
        <v>2</v>
      </c>
      <c r="K3" s="37">
        <v>3</v>
      </c>
      <c r="L3" s="37">
        <v>4</v>
      </c>
      <c r="M3" s="37">
        <v>5</v>
      </c>
      <c r="N3" s="37">
        <v>6</v>
      </c>
      <c r="O3" s="37">
        <v>7</v>
      </c>
      <c r="P3" s="37">
        <v>8</v>
      </c>
      <c r="Q3" s="37">
        <v>9</v>
      </c>
      <c r="R3" s="37">
        <v>10</v>
      </c>
      <c r="S3" s="37">
        <v>11</v>
      </c>
      <c r="T3" s="37">
        <v>12</v>
      </c>
      <c r="U3" s="37">
        <v>13</v>
      </c>
      <c r="V3" s="37">
        <v>14</v>
      </c>
      <c r="W3" s="37">
        <v>15</v>
      </c>
      <c r="X3" s="37">
        <v>16</v>
      </c>
      <c r="Y3" s="37">
        <v>17</v>
      </c>
      <c r="Z3" s="37">
        <v>18</v>
      </c>
      <c r="AA3" s="37">
        <v>19</v>
      </c>
      <c r="AB3" s="37">
        <v>20</v>
      </c>
      <c r="AC3" s="37">
        <v>21</v>
      </c>
      <c r="AD3" s="37">
        <v>22</v>
      </c>
      <c r="AE3" s="37">
        <v>23</v>
      </c>
      <c r="AF3" s="37">
        <v>24</v>
      </c>
      <c r="AG3" s="37">
        <v>25</v>
      </c>
      <c r="AH3" s="37">
        <v>26</v>
      </c>
      <c r="AI3" s="37">
        <v>27</v>
      </c>
      <c r="AJ3" s="37">
        <v>28</v>
      </c>
      <c r="AK3" s="37">
        <v>29</v>
      </c>
      <c r="AL3" s="37">
        <v>30</v>
      </c>
      <c r="AM3" s="37">
        <v>31</v>
      </c>
      <c r="AN3" s="37">
        <v>32</v>
      </c>
      <c r="AO3" s="37">
        <v>33</v>
      </c>
      <c r="AP3" s="37">
        <v>34</v>
      </c>
      <c r="AQ3" s="37">
        <v>35</v>
      </c>
      <c r="AR3" s="37">
        <v>36</v>
      </c>
      <c r="AS3" s="37">
        <v>37</v>
      </c>
      <c r="AT3" s="37">
        <v>38</v>
      </c>
      <c r="AU3" s="37">
        <v>39</v>
      </c>
      <c r="AV3" s="37">
        <v>40</v>
      </c>
      <c r="AW3" s="37">
        <v>41</v>
      </c>
      <c r="AX3" s="37">
        <v>42</v>
      </c>
      <c r="AY3" s="37">
        <v>43</v>
      </c>
      <c r="AZ3" s="37">
        <v>44</v>
      </c>
      <c r="BA3" s="37">
        <v>45</v>
      </c>
      <c r="BB3" s="37">
        <v>46</v>
      </c>
      <c r="BC3" s="37">
        <v>47</v>
      </c>
      <c r="BD3" s="37">
        <v>48</v>
      </c>
      <c r="BE3" s="37">
        <v>49</v>
      </c>
      <c r="BF3" s="37">
        <v>50</v>
      </c>
      <c r="BG3" s="37">
        <v>51</v>
      </c>
      <c r="BH3" s="37">
        <v>52</v>
      </c>
      <c r="BI3" s="37">
        <v>53</v>
      </c>
      <c r="BJ3" s="37">
        <v>54</v>
      </c>
      <c r="BK3" s="37">
        <v>55</v>
      </c>
      <c r="BL3" s="37">
        <v>56</v>
      </c>
      <c r="BM3" s="37">
        <v>57</v>
      </c>
      <c r="BN3" s="37">
        <v>58</v>
      </c>
      <c r="BO3" s="37">
        <v>59</v>
      </c>
      <c r="BP3" s="37">
        <v>60</v>
      </c>
    </row>
    <row r="4" spans="1:68" x14ac:dyDescent="0.25"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</row>
    <row r="5" spans="1:68" x14ac:dyDescent="0.25">
      <c r="G5" s="6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</row>
    <row r="6" spans="1:68" x14ac:dyDescent="0.25">
      <c r="A6" s="83" t="s">
        <v>82</v>
      </c>
      <c r="F6" s="65" t="s">
        <v>112</v>
      </c>
      <c r="G6" s="65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</row>
    <row r="7" spans="1:68" x14ac:dyDescent="0.25">
      <c r="B7" s="40" t="s">
        <v>32</v>
      </c>
      <c r="C7" s="65" t="str">
        <f>'Case Study'!B30</f>
        <v>Leased Area</v>
      </c>
      <c r="D7" s="65" t="str">
        <f>'Case Study'!F30</f>
        <v>Annual Rent PSF</v>
      </c>
      <c r="E7" s="65" t="str">
        <f>'Case Study'!H30</f>
        <v>Rent Increase</v>
      </c>
      <c r="F7" s="65" t="s">
        <v>101</v>
      </c>
      <c r="G7" s="65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</row>
    <row r="8" spans="1:68" x14ac:dyDescent="0.25">
      <c r="A8" s="1"/>
      <c r="B8" s="1">
        <f>'Case Study'!A32</f>
        <v>1001</v>
      </c>
      <c r="C8" s="66">
        <f>'Case Study'!B32</f>
        <v>10000</v>
      </c>
      <c r="D8" s="89">
        <f>'Case Study'!F32</f>
        <v>12.15</v>
      </c>
      <c r="E8" s="85">
        <f>'Case Study'!H32</f>
        <v>0.03</v>
      </c>
      <c r="F8" s="89">
        <f>D8*C8</f>
        <v>121500</v>
      </c>
      <c r="G8" s="66"/>
      <c r="H8" s="89">
        <f>($F8/$B$2)*(1+$E8)^INT(H$3/$B$2)</f>
        <v>10125</v>
      </c>
      <c r="I8" s="89">
        <f t="shared" ref="I8:X12" si="1">($F8/$B$2)*(1+$E8)^INT(I$3/$B$2)</f>
        <v>10125</v>
      </c>
      <c r="J8" s="89">
        <f t="shared" si="1"/>
        <v>10125</v>
      </c>
      <c r="K8" s="89">
        <f t="shared" si="1"/>
        <v>10125</v>
      </c>
      <c r="L8" s="89">
        <f t="shared" si="1"/>
        <v>10125</v>
      </c>
      <c r="M8" s="89">
        <f t="shared" si="1"/>
        <v>10125</v>
      </c>
      <c r="N8" s="89">
        <f t="shared" si="1"/>
        <v>10125</v>
      </c>
      <c r="O8" s="89">
        <f t="shared" si="1"/>
        <v>10125</v>
      </c>
      <c r="P8" s="89">
        <f t="shared" si="1"/>
        <v>10125</v>
      </c>
      <c r="Q8" s="89">
        <f t="shared" si="1"/>
        <v>10125</v>
      </c>
      <c r="R8" s="89">
        <f t="shared" si="1"/>
        <v>10125</v>
      </c>
      <c r="S8" s="89">
        <f t="shared" si="1"/>
        <v>10125</v>
      </c>
      <c r="T8" s="89">
        <f t="shared" si="1"/>
        <v>10428.75</v>
      </c>
      <c r="U8" s="89">
        <f t="shared" si="1"/>
        <v>10428.75</v>
      </c>
      <c r="V8" s="89">
        <f t="shared" si="1"/>
        <v>10428.75</v>
      </c>
      <c r="W8" s="89">
        <f t="shared" si="1"/>
        <v>10428.75</v>
      </c>
      <c r="X8" s="89">
        <f t="shared" si="1"/>
        <v>10428.75</v>
      </c>
      <c r="Y8" s="89">
        <f t="shared" ref="Y8:AN12" si="2">($F8/$B$2)*(1+$E8)^INT(Y$3/$B$2)</f>
        <v>10428.75</v>
      </c>
      <c r="Z8" s="89">
        <f t="shared" si="2"/>
        <v>10428.75</v>
      </c>
      <c r="AA8" s="89">
        <f t="shared" si="2"/>
        <v>10428.75</v>
      </c>
      <c r="AB8" s="89">
        <f t="shared" si="2"/>
        <v>10428.75</v>
      </c>
      <c r="AC8" s="89">
        <f t="shared" si="2"/>
        <v>10428.75</v>
      </c>
      <c r="AD8" s="89">
        <f t="shared" si="2"/>
        <v>10428.75</v>
      </c>
      <c r="AE8" s="89">
        <f t="shared" si="2"/>
        <v>10428.75</v>
      </c>
      <c r="AF8" s="89">
        <f t="shared" si="2"/>
        <v>10741.612499999999</v>
      </c>
      <c r="AG8" s="89">
        <f t="shared" si="2"/>
        <v>10741.612499999999</v>
      </c>
      <c r="AH8" s="89">
        <f t="shared" si="2"/>
        <v>10741.612499999999</v>
      </c>
      <c r="AI8" s="89">
        <f t="shared" si="2"/>
        <v>10741.612499999999</v>
      </c>
      <c r="AJ8" s="89">
        <f t="shared" si="2"/>
        <v>10741.612499999999</v>
      </c>
      <c r="AK8" s="89">
        <f t="shared" si="2"/>
        <v>10741.612499999999</v>
      </c>
      <c r="AL8" s="89">
        <f t="shared" si="2"/>
        <v>10741.612499999999</v>
      </c>
      <c r="AM8" s="89">
        <f t="shared" si="2"/>
        <v>10741.612499999999</v>
      </c>
      <c r="AN8" s="89">
        <f t="shared" si="2"/>
        <v>10741.612499999999</v>
      </c>
      <c r="AO8" s="89">
        <f t="shared" ref="AO8:BD12" si="3">($F8/$B$2)*(1+$E8)^INT(AO$3/$B$2)</f>
        <v>10741.612499999999</v>
      </c>
      <c r="AP8" s="89">
        <f t="shared" si="3"/>
        <v>10741.612499999999</v>
      </c>
      <c r="AQ8" s="89">
        <f t="shared" si="3"/>
        <v>10741.612499999999</v>
      </c>
      <c r="AR8" s="89">
        <f t="shared" si="3"/>
        <v>11063.860875</v>
      </c>
      <c r="AS8" s="89">
        <f t="shared" si="3"/>
        <v>11063.860875</v>
      </c>
      <c r="AT8" s="89">
        <f t="shared" si="3"/>
        <v>11063.860875</v>
      </c>
      <c r="AU8" s="89">
        <f t="shared" si="3"/>
        <v>11063.860875</v>
      </c>
      <c r="AV8" s="89">
        <f t="shared" si="3"/>
        <v>11063.860875</v>
      </c>
      <c r="AW8" s="89">
        <f t="shared" si="3"/>
        <v>11063.860875</v>
      </c>
      <c r="AX8" s="89">
        <f t="shared" si="3"/>
        <v>11063.860875</v>
      </c>
      <c r="AY8" s="89">
        <f t="shared" si="3"/>
        <v>11063.860875</v>
      </c>
      <c r="AZ8" s="89">
        <f t="shared" si="3"/>
        <v>11063.860875</v>
      </c>
      <c r="BA8" s="89">
        <f t="shared" si="3"/>
        <v>11063.860875</v>
      </c>
      <c r="BB8" s="89">
        <f t="shared" si="3"/>
        <v>11063.860875</v>
      </c>
      <c r="BC8" s="89">
        <f t="shared" si="3"/>
        <v>11063.860875</v>
      </c>
      <c r="BD8" s="89">
        <f t="shared" si="3"/>
        <v>11395.776701249999</v>
      </c>
      <c r="BE8" s="89">
        <f t="shared" ref="BE8:BP12" si="4">($F8/$B$2)*(1+$E8)^INT(BE$3/$B$2)</f>
        <v>11395.776701249999</v>
      </c>
      <c r="BF8" s="89">
        <f t="shared" si="4"/>
        <v>11395.776701249999</v>
      </c>
      <c r="BG8" s="89">
        <f t="shared" si="4"/>
        <v>11395.776701249999</v>
      </c>
      <c r="BH8" s="89">
        <f t="shared" si="4"/>
        <v>11395.776701249999</v>
      </c>
      <c r="BI8" s="89">
        <f t="shared" si="4"/>
        <v>11395.776701249999</v>
      </c>
      <c r="BJ8" s="89">
        <f t="shared" si="4"/>
        <v>11395.776701249999</v>
      </c>
      <c r="BK8" s="89">
        <f t="shared" si="4"/>
        <v>11395.776701249999</v>
      </c>
      <c r="BL8" s="89">
        <f t="shared" si="4"/>
        <v>11395.776701249999</v>
      </c>
      <c r="BM8" s="89">
        <f t="shared" si="4"/>
        <v>11395.776701249999</v>
      </c>
      <c r="BN8" s="89">
        <f t="shared" si="4"/>
        <v>11395.776701249999</v>
      </c>
      <c r="BO8" s="89">
        <f t="shared" si="4"/>
        <v>11395.776701249999</v>
      </c>
      <c r="BP8" s="89">
        <f t="shared" si="4"/>
        <v>11737.650002287499</v>
      </c>
    </row>
    <row r="9" spans="1:68" x14ac:dyDescent="0.25">
      <c r="A9" s="1"/>
      <c r="B9" s="1">
        <f>'Case Study'!A33</f>
        <v>1002</v>
      </c>
      <c r="C9" s="66">
        <f>'Case Study'!B33</f>
        <v>10000</v>
      </c>
      <c r="D9" s="89">
        <f>'Case Study'!F33</f>
        <v>11.5</v>
      </c>
      <c r="E9" s="85">
        <f>'Case Study'!H33</f>
        <v>0.03</v>
      </c>
      <c r="F9" s="89">
        <f t="shared" ref="F9:F12" si="5">D9*C9</f>
        <v>115000</v>
      </c>
      <c r="G9" s="66"/>
      <c r="H9" s="89">
        <f t="shared" ref="H9:H12" si="6">($F9/$B$2)*(1+$E9)^INT(H$3/$B$2)</f>
        <v>9583.3333333333339</v>
      </c>
      <c r="I9" s="89">
        <f t="shared" si="1"/>
        <v>9583.3333333333339</v>
      </c>
      <c r="J9" s="89">
        <f t="shared" si="1"/>
        <v>9583.3333333333339</v>
      </c>
      <c r="K9" s="89">
        <f t="shared" si="1"/>
        <v>9583.3333333333339</v>
      </c>
      <c r="L9" s="89">
        <f t="shared" si="1"/>
        <v>9583.3333333333339</v>
      </c>
      <c r="M9" s="89">
        <f t="shared" si="1"/>
        <v>9583.3333333333339</v>
      </c>
      <c r="N9" s="89">
        <f t="shared" si="1"/>
        <v>9583.3333333333339</v>
      </c>
      <c r="O9" s="89">
        <f t="shared" si="1"/>
        <v>9583.3333333333339</v>
      </c>
      <c r="P9" s="89">
        <f t="shared" si="1"/>
        <v>9583.3333333333339</v>
      </c>
      <c r="Q9" s="89">
        <f t="shared" si="1"/>
        <v>9583.3333333333339</v>
      </c>
      <c r="R9" s="89">
        <f t="shared" si="1"/>
        <v>9583.3333333333339</v>
      </c>
      <c r="S9" s="89">
        <f t="shared" si="1"/>
        <v>9583.3333333333339</v>
      </c>
      <c r="T9" s="89">
        <f t="shared" si="1"/>
        <v>9870.8333333333339</v>
      </c>
      <c r="U9" s="89">
        <f t="shared" si="1"/>
        <v>9870.8333333333339</v>
      </c>
      <c r="V9" s="89">
        <f t="shared" si="1"/>
        <v>9870.8333333333339</v>
      </c>
      <c r="W9" s="89">
        <f t="shared" si="1"/>
        <v>9870.8333333333339</v>
      </c>
      <c r="X9" s="89">
        <f t="shared" si="1"/>
        <v>9870.8333333333339</v>
      </c>
      <c r="Y9" s="89">
        <f t="shared" si="2"/>
        <v>9870.8333333333339</v>
      </c>
      <c r="Z9" s="89">
        <f t="shared" si="2"/>
        <v>9870.8333333333339</v>
      </c>
      <c r="AA9" s="89">
        <f t="shared" si="2"/>
        <v>9870.8333333333339</v>
      </c>
      <c r="AB9" s="89">
        <f t="shared" si="2"/>
        <v>9870.8333333333339</v>
      </c>
      <c r="AC9" s="89">
        <f t="shared" si="2"/>
        <v>9870.8333333333339</v>
      </c>
      <c r="AD9" s="89">
        <f t="shared" si="2"/>
        <v>9870.8333333333339</v>
      </c>
      <c r="AE9" s="89">
        <f t="shared" si="2"/>
        <v>9870.8333333333339</v>
      </c>
      <c r="AF9" s="89">
        <f t="shared" si="2"/>
        <v>10166.958333333334</v>
      </c>
      <c r="AG9" s="89">
        <f t="shared" si="2"/>
        <v>10166.958333333334</v>
      </c>
      <c r="AH9" s="89">
        <f t="shared" si="2"/>
        <v>10166.958333333334</v>
      </c>
      <c r="AI9" s="89">
        <f t="shared" si="2"/>
        <v>10166.958333333334</v>
      </c>
      <c r="AJ9" s="89">
        <f t="shared" si="2"/>
        <v>10166.958333333334</v>
      </c>
      <c r="AK9" s="89">
        <f t="shared" si="2"/>
        <v>10166.958333333334</v>
      </c>
      <c r="AL9" s="89">
        <f t="shared" si="2"/>
        <v>10166.958333333334</v>
      </c>
      <c r="AM9" s="89">
        <f t="shared" si="2"/>
        <v>10166.958333333334</v>
      </c>
      <c r="AN9" s="89">
        <f t="shared" si="2"/>
        <v>10166.958333333334</v>
      </c>
      <c r="AO9" s="89">
        <f t="shared" si="3"/>
        <v>10166.958333333334</v>
      </c>
      <c r="AP9" s="89">
        <f t="shared" si="3"/>
        <v>10166.958333333334</v>
      </c>
      <c r="AQ9" s="89">
        <f t="shared" si="3"/>
        <v>10166.958333333334</v>
      </c>
      <c r="AR9" s="89">
        <f t="shared" si="3"/>
        <v>10471.967083333335</v>
      </c>
      <c r="AS9" s="89">
        <f t="shared" si="3"/>
        <v>10471.967083333335</v>
      </c>
      <c r="AT9" s="89">
        <f t="shared" si="3"/>
        <v>10471.967083333335</v>
      </c>
      <c r="AU9" s="89">
        <f t="shared" si="3"/>
        <v>10471.967083333335</v>
      </c>
      <c r="AV9" s="89">
        <f t="shared" si="3"/>
        <v>10471.967083333335</v>
      </c>
      <c r="AW9" s="89">
        <f t="shared" si="3"/>
        <v>10471.967083333335</v>
      </c>
      <c r="AX9" s="89">
        <f t="shared" si="3"/>
        <v>10471.967083333335</v>
      </c>
      <c r="AY9" s="89">
        <f t="shared" si="3"/>
        <v>10471.967083333335</v>
      </c>
      <c r="AZ9" s="89">
        <f t="shared" si="3"/>
        <v>10471.967083333335</v>
      </c>
      <c r="BA9" s="89">
        <f t="shared" si="3"/>
        <v>10471.967083333335</v>
      </c>
      <c r="BB9" s="89">
        <f t="shared" si="3"/>
        <v>10471.967083333335</v>
      </c>
      <c r="BC9" s="89">
        <f t="shared" si="3"/>
        <v>10471.967083333335</v>
      </c>
      <c r="BD9" s="89">
        <f t="shared" si="3"/>
        <v>10786.126095833333</v>
      </c>
      <c r="BE9" s="89">
        <f t="shared" si="4"/>
        <v>10786.126095833333</v>
      </c>
      <c r="BF9" s="89">
        <f t="shared" si="4"/>
        <v>10786.126095833333</v>
      </c>
      <c r="BG9" s="89">
        <f t="shared" si="4"/>
        <v>10786.126095833333</v>
      </c>
      <c r="BH9" s="89">
        <f t="shared" si="4"/>
        <v>10786.126095833333</v>
      </c>
      <c r="BI9" s="89">
        <f t="shared" si="4"/>
        <v>10786.126095833333</v>
      </c>
      <c r="BJ9" s="89">
        <f t="shared" si="4"/>
        <v>10786.126095833333</v>
      </c>
      <c r="BK9" s="89">
        <f t="shared" si="4"/>
        <v>10786.126095833333</v>
      </c>
      <c r="BL9" s="89">
        <f t="shared" si="4"/>
        <v>10786.126095833333</v>
      </c>
      <c r="BM9" s="89">
        <f t="shared" si="4"/>
        <v>10786.126095833333</v>
      </c>
      <c r="BN9" s="89">
        <f t="shared" si="4"/>
        <v>10786.126095833333</v>
      </c>
      <c r="BO9" s="89">
        <f t="shared" si="4"/>
        <v>10786.126095833333</v>
      </c>
      <c r="BP9" s="89">
        <f t="shared" si="4"/>
        <v>11109.709878708332</v>
      </c>
    </row>
    <row r="10" spans="1:68" x14ac:dyDescent="0.25">
      <c r="A10" s="1"/>
      <c r="B10" s="1">
        <f>'Case Study'!A34</f>
        <v>1003</v>
      </c>
      <c r="C10" s="66">
        <f>'Case Study'!B34</f>
        <v>15000</v>
      </c>
      <c r="D10" s="89">
        <f>'Case Study'!F34</f>
        <v>10.75</v>
      </c>
      <c r="E10" s="85">
        <f>'Case Study'!H34</f>
        <v>0.03</v>
      </c>
      <c r="F10" s="89">
        <f t="shared" si="5"/>
        <v>161250</v>
      </c>
      <c r="H10" s="89">
        <f t="shared" si="6"/>
        <v>13437.5</v>
      </c>
      <c r="I10" s="89">
        <f t="shared" si="1"/>
        <v>13437.5</v>
      </c>
      <c r="J10" s="89">
        <f t="shared" si="1"/>
        <v>13437.5</v>
      </c>
      <c r="K10" s="89">
        <f t="shared" si="1"/>
        <v>13437.5</v>
      </c>
      <c r="L10" s="89">
        <f t="shared" si="1"/>
        <v>13437.5</v>
      </c>
      <c r="M10" s="89">
        <f t="shared" si="1"/>
        <v>13437.5</v>
      </c>
      <c r="N10" s="89">
        <f t="shared" si="1"/>
        <v>13437.5</v>
      </c>
      <c r="O10" s="89">
        <f t="shared" si="1"/>
        <v>13437.5</v>
      </c>
      <c r="P10" s="89">
        <f t="shared" si="1"/>
        <v>13437.5</v>
      </c>
      <c r="Q10" s="89">
        <f t="shared" si="1"/>
        <v>13437.5</v>
      </c>
      <c r="R10" s="89">
        <f t="shared" si="1"/>
        <v>13437.5</v>
      </c>
      <c r="S10" s="89">
        <f t="shared" si="1"/>
        <v>13437.5</v>
      </c>
      <c r="T10" s="89">
        <f t="shared" si="1"/>
        <v>13840.625</v>
      </c>
      <c r="U10" s="89">
        <f t="shared" si="1"/>
        <v>13840.625</v>
      </c>
      <c r="V10" s="89">
        <f t="shared" si="1"/>
        <v>13840.625</v>
      </c>
      <c r="W10" s="89">
        <f t="shared" si="1"/>
        <v>13840.625</v>
      </c>
      <c r="X10" s="89">
        <f t="shared" si="1"/>
        <v>13840.625</v>
      </c>
      <c r="Y10" s="89">
        <f t="shared" si="2"/>
        <v>13840.625</v>
      </c>
      <c r="Z10" s="89">
        <f t="shared" si="2"/>
        <v>13840.625</v>
      </c>
      <c r="AA10" s="89">
        <f t="shared" si="2"/>
        <v>13840.625</v>
      </c>
      <c r="AB10" s="89">
        <f t="shared" si="2"/>
        <v>13840.625</v>
      </c>
      <c r="AC10" s="89">
        <f t="shared" si="2"/>
        <v>13840.625</v>
      </c>
      <c r="AD10" s="89">
        <f t="shared" si="2"/>
        <v>13840.625</v>
      </c>
      <c r="AE10" s="89">
        <f t="shared" si="2"/>
        <v>13840.625</v>
      </c>
      <c r="AF10" s="89">
        <f t="shared" si="2"/>
        <v>14255.84375</v>
      </c>
      <c r="AG10" s="89">
        <f t="shared" si="2"/>
        <v>14255.84375</v>
      </c>
      <c r="AH10" s="89">
        <f t="shared" si="2"/>
        <v>14255.84375</v>
      </c>
      <c r="AI10" s="89">
        <f t="shared" si="2"/>
        <v>14255.84375</v>
      </c>
      <c r="AJ10" s="89">
        <f t="shared" si="2"/>
        <v>14255.84375</v>
      </c>
      <c r="AK10" s="89">
        <f t="shared" si="2"/>
        <v>14255.84375</v>
      </c>
      <c r="AL10" s="89">
        <f t="shared" si="2"/>
        <v>14255.84375</v>
      </c>
      <c r="AM10" s="89">
        <f t="shared" si="2"/>
        <v>14255.84375</v>
      </c>
      <c r="AN10" s="89">
        <f t="shared" si="2"/>
        <v>14255.84375</v>
      </c>
      <c r="AO10" s="89">
        <f t="shared" si="3"/>
        <v>14255.84375</v>
      </c>
      <c r="AP10" s="89">
        <f t="shared" si="3"/>
        <v>14255.84375</v>
      </c>
      <c r="AQ10" s="89">
        <f t="shared" si="3"/>
        <v>14255.84375</v>
      </c>
      <c r="AR10" s="89">
        <f t="shared" si="3"/>
        <v>14683.5190625</v>
      </c>
      <c r="AS10" s="89">
        <f t="shared" si="3"/>
        <v>14683.5190625</v>
      </c>
      <c r="AT10" s="89">
        <f t="shared" si="3"/>
        <v>14683.5190625</v>
      </c>
      <c r="AU10" s="89">
        <f t="shared" si="3"/>
        <v>14683.5190625</v>
      </c>
      <c r="AV10" s="89">
        <f t="shared" si="3"/>
        <v>14683.5190625</v>
      </c>
      <c r="AW10" s="89">
        <f t="shared" si="3"/>
        <v>14683.5190625</v>
      </c>
      <c r="AX10" s="89">
        <f t="shared" si="3"/>
        <v>14683.5190625</v>
      </c>
      <c r="AY10" s="89">
        <f t="shared" si="3"/>
        <v>14683.5190625</v>
      </c>
      <c r="AZ10" s="89">
        <f t="shared" si="3"/>
        <v>14683.5190625</v>
      </c>
      <c r="BA10" s="89">
        <f t="shared" si="3"/>
        <v>14683.5190625</v>
      </c>
      <c r="BB10" s="89">
        <f t="shared" si="3"/>
        <v>14683.5190625</v>
      </c>
      <c r="BC10" s="89">
        <f t="shared" si="3"/>
        <v>14683.5190625</v>
      </c>
      <c r="BD10" s="89">
        <f t="shared" si="3"/>
        <v>15124.024634374999</v>
      </c>
      <c r="BE10" s="89">
        <f t="shared" si="4"/>
        <v>15124.024634374999</v>
      </c>
      <c r="BF10" s="89">
        <f t="shared" si="4"/>
        <v>15124.024634374999</v>
      </c>
      <c r="BG10" s="89">
        <f t="shared" si="4"/>
        <v>15124.024634374999</v>
      </c>
      <c r="BH10" s="89">
        <f t="shared" si="4"/>
        <v>15124.024634374999</v>
      </c>
      <c r="BI10" s="89">
        <f t="shared" si="4"/>
        <v>15124.024634374999</v>
      </c>
      <c r="BJ10" s="89">
        <f t="shared" si="4"/>
        <v>15124.024634374999</v>
      </c>
      <c r="BK10" s="89">
        <f t="shared" si="4"/>
        <v>15124.024634374999</v>
      </c>
      <c r="BL10" s="89">
        <f t="shared" si="4"/>
        <v>15124.024634374999</v>
      </c>
      <c r="BM10" s="89">
        <f t="shared" si="4"/>
        <v>15124.024634374999</v>
      </c>
      <c r="BN10" s="89">
        <f t="shared" si="4"/>
        <v>15124.024634374999</v>
      </c>
      <c r="BO10" s="89">
        <f t="shared" si="4"/>
        <v>15124.024634374999</v>
      </c>
      <c r="BP10" s="89">
        <f t="shared" si="4"/>
        <v>15577.745373406247</v>
      </c>
    </row>
    <row r="11" spans="1:68" x14ac:dyDescent="0.25">
      <c r="A11" s="1"/>
      <c r="B11" s="1">
        <f>'Case Study'!A35</f>
        <v>1004</v>
      </c>
      <c r="C11" s="66">
        <f>'Case Study'!B35</f>
        <v>5000</v>
      </c>
      <c r="D11" s="89">
        <f>'Case Study'!F35</f>
        <v>12</v>
      </c>
      <c r="E11" s="85">
        <f>'Case Study'!H35</f>
        <v>0.05</v>
      </c>
      <c r="F11" s="89">
        <f t="shared" si="5"/>
        <v>60000</v>
      </c>
      <c r="H11" s="89">
        <f t="shared" si="6"/>
        <v>5000</v>
      </c>
      <c r="I11" s="89">
        <f t="shared" si="1"/>
        <v>5000</v>
      </c>
      <c r="J11" s="89">
        <f t="shared" si="1"/>
        <v>5000</v>
      </c>
      <c r="K11" s="89">
        <f t="shared" si="1"/>
        <v>5000</v>
      </c>
      <c r="L11" s="89">
        <f t="shared" si="1"/>
        <v>5000</v>
      </c>
      <c r="M11" s="89">
        <f t="shared" si="1"/>
        <v>5000</v>
      </c>
      <c r="N11" s="89">
        <f t="shared" si="1"/>
        <v>5000</v>
      </c>
      <c r="O11" s="89">
        <f t="shared" si="1"/>
        <v>5000</v>
      </c>
      <c r="P11" s="89">
        <f t="shared" si="1"/>
        <v>5000</v>
      </c>
      <c r="Q11" s="89">
        <f t="shared" si="1"/>
        <v>5000</v>
      </c>
      <c r="R11" s="89">
        <f t="shared" si="1"/>
        <v>5000</v>
      </c>
      <c r="S11" s="89">
        <f t="shared" si="1"/>
        <v>5000</v>
      </c>
      <c r="T11" s="89">
        <f t="shared" si="1"/>
        <v>5250</v>
      </c>
      <c r="U11" s="89">
        <f t="shared" si="1"/>
        <v>5250</v>
      </c>
      <c r="V11" s="89">
        <f t="shared" si="1"/>
        <v>5250</v>
      </c>
      <c r="W11" s="89">
        <f t="shared" si="1"/>
        <v>5250</v>
      </c>
      <c r="X11" s="89">
        <f t="shared" si="1"/>
        <v>5250</v>
      </c>
      <c r="Y11" s="89">
        <f t="shared" si="2"/>
        <v>5250</v>
      </c>
      <c r="Z11" s="89">
        <f t="shared" si="2"/>
        <v>5250</v>
      </c>
      <c r="AA11" s="89">
        <f t="shared" si="2"/>
        <v>5250</v>
      </c>
      <c r="AB11" s="89">
        <f t="shared" si="2"/>
        <v>5250</v>
      </c>
      <c r="AC11" s="89">
        <f t="shared" si="2"/>
        <v>5250</v>
      </c>
      <c r="AD11" s="89">
        <f t="shared" si="2"/>
        <v>5250</v>
      </c>
      <c r="AE11" s="89">
        <f t="shared" si="2"/>
        <v>5250</v>
      </c>
      <c r="AF11" s="89">
        <f t="shared" si="2"/>
        <v>5512.5</v>
      </c>
      <c r="AG11" s="89">
        <f t="shared" si="2"/>
        <v>5512.5</v>
      </c>
      <c r="AH11" s="89">
        <f t="shared" si="2"/>
        <v>5512.5</v>
      </c>
      <c r="AI11" s="89">
        <f t="shared" si="2"/>
        <v>5512.5</v>
      </c>
      <c r="AJ11" s="89">
        <f t="shared" si="2"/>
        <v>5512.5</v>
      </c>
      <c r="AK11" s="89">
        <f t="shared" si="2"/>
        <v>5512.5</v>
      </c>
      <c r="AL11" s="89">
        <f t="shared" si="2"/>
        <v>5512.5</v>
      </c>
      <c r="AM11" s="89">
        <f t="shared" si="2"/>
        <v>5512.5</v>
      </c>
      <c r="AN11" s="89">
        <f t="shared" si="2"/>
        <v>5512.5</v>
      </c>
      <c r="AO11" s="89">
        <f t="shared" si="3"/>
        <v>5512.5</v>
      </c>
      <c r="AP11" s="89">
        <f t="shared" si="3"/>
        <v>5512.5</v>
      </c>
      <c r="AQ11" s="89">
        <f t="shared" si="3"/>
        <v>5512.5</v>
      </c>
      <c r="AR11" s="89">
        <f t="shared" si="3"/>
        <v>5788.1250000000009</v>
      </c>
      <c r="AS11" s="89">
        <f t="shared" si="3"/>
        <v>5788.1250000000009</v>
      </c>
      <c r="AT11" s="89">
        <f t="shared" si="3"/>
        <v>5788.1250000000009</v>
      </c>
      <c r="AU11" s="89">
        <f t="shared" si="3"/>
        <v>5788.1250000000009</v>
      </c>
      <c r="AV11" s="89">
        <f t="shared" si="3"/>
        <v>5788.1250000000009</v>
      </c>
      <c r="AW11" s="89">
        <f t="shared" si="3"/>
        <v>5788.1250000000009</v>
      </c>
      <c r="AX11" s="89">
        <f t="shared" si="3"/>
        <v>5788.1250000000009</v>
      </c>
      <c r="AY11" s="89">
        <f t="shared" si="3"/>
        <v>5788.1250000000009</v>
      </c>
      <c r="AZ11" s="89">
        <f t="shared" si="3"/>
        <v>5788.1250000000009</v>
      </c>
      <c r="BA11" s="89">
        <f t="shared" si="3"/>
        <v>5788.1250000000009</v>
      </c>
      <c r="BB11" s="89">
        <f t="shared" si="3"/>
        <v>5788.1250000000009</v>
      </c>
      <c r="BC11" s="89">
        <f t="shared" si="3"/>
        <v>5788.1250000000009</v>
      </c>
      <c r="BD11" s="89">
        <f t="shared" si="3"/>
        <v>6077.53125</v>
      </c>
      <c r="BE11" s="89">
        <f t="shared" si="4"/>
        <v>6077.53125</v>
      </c>
      <c r="BF11" s="89">
        <f t="shared" si="4"/>
        <v>6077.53125</v>
      </c>
      <c r="BG11" s="89">
        <f t="shared" si="4"/>
        <v>6077.53125</v>
      </c>
      <c r="BH11" s="89">
        <f t="shared" si="4"/>
        <v>6077.53125</v>
      </c>
      <c r="BI11" s="89">
        <f t="shared" si="4"/>
        <v>6077.53125</v>
      </c>
      <c r="BJ11" s="89">
        <f t="shared" si="4"/>
        <v>6077.53125</v>
      </c>
      <c r="BK11" s="89">
        <f t="shared" si="4"/>
        <v>6077.53125</v>
      </c>
      <c r="BL11" s="89">
        <f t="shared" si="4"/>
        <v>6077.53125</v>
      </c>
      <c r="BM11" s="89">
        <f t="shared" si="4"/>
        <v>6077.53125</v>
      </c>
      <c r="BN11" s="89">
        <f t="shared" si="4"/>
        <v>6077.53125</v>
      </c>
      <c r="BO11" s="89">
        <f t="shared" si="4"/>
        <v>6077.53125</v>
      </c>
      <c r="BP11" s="89">
        <f t="shared" si="4"/>
        <v>6381.4078125000005</v>
      </c>
    </row>
    <row r="12" spans="1:68" x14ac:dyDescent="0.25">
      <c r="A12" s="1"/>
      <c r="B12" s="1">
        <f>'Case Study'!A36</f>
        <v>1005</v>
      </c>
      <c r="C12" s="66">
        <f>'Case Study'!B36</f>
        <v>10000</v>
      </c>
      <c r="D12" s="89">
        <f>'Case Study'!F36</f>
        <v>12</v>
      </c>
      <c r="E12" s="85">
        <f>'Case Study'!H36</f>
        <v>0.05</v>
      </c>
      <c r="F12" s="89">
        <f t="shared" si="5"/>
        <v>120000</v>
      </c>
      <c r="H12" s="89">
        <f t="shared" si="6"/>
        <v>10000</v>
      </c>
      <c r="I12" s="89">
        <f t="shared" si="1"/>
        <v>10000</v>
      </c>
      <c r="J12" s="89">
        <f t="shared" si="1"/>
        <v>10000</v>
      </c>
      <c r="K12" s="89">
        <f t="shared" si="1"/>
        <v>10000</v>
      </c>
      <c r="L12" s="89">
        <f t="shared" si="1"/>
        <v>10000</v>
      </c>
      <c r="M12" s="89">
        <f t="shared" si="1"/>
        <v>10000</v>
      </c>
      <c r="N12" s="89">
        <f t="shared" si="1"/>
        <v>10000</v>
      </c>
      <c r="O12" s="89">
        <f t="shared" si="1"/>
        <v>10000</v>
      </c>
      <c r="P12" s="89">
        <f t="shared" si="1"/>
        <v>10000</v>
      </c>
      <c r="Q12" s="89">
        <f t="shared" si="1"/>
        <v>10000</v>
      </c>
      <c r="R12" s="89">
        <f t="shared" si="1"/>
        <v>10000</v>
      </c>
      <c r="S12" s="89">
        <f t="shared" si="1"/>
        <v>10000</v>
      </c>
      <c r="T12" s="89">
        <f t="shared" si="1"/>
        <v>10500</v>
      </c>
      <c r="U12" s="89">
        <f t="shared" si="1"/>
        <v>10500</v>
      </c>
      <c r="V12" s="89">
        <f t="shared" si="1"/>
        <v>10500</v>
      </c>
      <c r="W12" s="89">
        <f t="shared" si="1"/>
        <v>10500</v>
      </c>
      <c r="X12" s="89">
        <f t="shared" si="1"/>
        <v>10500</v>
      </c>
      <c r="Y12" s="89">
        <f t="shared" si="2"/>
        <v>10500</v>
      </c>
      <c r="Z12" s="89">
        <f t="shared" si="2"/>
        <v>10500</v>
      </c>
      <c r="AA12" s="89">
        <f t="shared" si="2"/>
        <v>10500</v>
      </c>
      <c r="AB12" s="89">
        <f t="shared" si="2"/>
        <v>10500</v>
      </c>
      <c r="AC12" s="89">
        <f t="shared" si="2"/>
        <v>10500</v>
      </c>
      <c r="AD12" s="89">
        <f t="shared" si="2"/>
        <v>10500</v>
      </c>
      <c r="AE12" s="89">
        <f t="shared" si="2"/>
        <v>10500</v>
      </c>
      <c r="AF12" s="89">
        <f t="shared" si="2"/>
        <v>11025</v>
      </c>
      <c r="AG12" s="89">
        <f t="shared" si="2"/>
        <v>11025</v>
      </c>
      <c r="AH12" s="89">
        <f t="shared" si="2"/>
        <v>11025</v>
      </c>
      <c r="AI12" s="89">
        <f t="shared" si="2"/>
        <v>11025</v>
      </c>
      <c r="AJ12" s="89">
        <f t="shared" si="2"/>
        <v>11025</v>
      </c>
      <c r="AK12" s="89">
        <f t="shared" si="2"/>
        <v>11025</v>
      </c>
      <c r="AL12" s="89">
        <f t="shared" si="2"/>
        <v>11025</v>
      </c>
      <c r="AM12" s="89">
        <f t="shared" si="2"/>
        <v>11025</v>
      </c>
      <c r="AN12" s="89">
        <f t="shared" si="2"/>
        <v>11025</v>
      </c>
      <c r="AO12" s="89">
        <f t="shared" si="3"/>
        <v>11025</v>
      </c>
      <c r="AP12" s="89">
        <f t="shared" si="3"/>
        <v>11025</v>
      </c>
      <c r="AQ12" s="89">
        <f t="shared" si="3"/>
        <v>11025</v>
      </c>
      <c r="AR12" s="89">
        <f t="shared" si="3"/>
        <v>11576.250000000002</v>
      </c>
      <c r="AS12" s="89">
        <f t="shared" si="3"/>
        <v>11576.250000000002</v>
      </c>
      <c r="AT12" s="89">
        <f t="shared" si="3"/>
        <v>11576.250000000002</v>
      </c>
      <c r="AU12" s="89">
        <f t="shared" si="3"/>
        <v>11576.250000000002</v>
      </c>
      <c r="AV12" s="89">
        <f t="shared" si="3"/>
        <v>11576.250000000002</v>
      </c>
      <c r="AW12" s="89">
        <f t="shared" si="3"/>
        <v>11576.250000000002</v>
      </c>
      <c r="AX12" s="89">
        <f t="shared" si="3"/>
        <v>11576.250000000002</v>
      </c>
      <c r="AY12" s="89">
        <f t="shared" si="3"/>
        <v>11576.250000000002</v>
      </c>
      <c r="AZ12" s="89">
        <f t="shared" si="3"/>
        <v>11576.250000000002</v>
      </c>
      <c r="BA12" s="89">
        <f t="shared" si="3"/>
        <v>11576.250000000002</v>
      </c>
      <c r="BB12" s="89">
        <f t="shared" si="3"/>
        <v>11576.250000000002</v>
      </c>
      <c r="BC12" s="89">
        <f t="shared" si="3"/>
        <v>11576.250000000002</v>
      </c>
      <c r="BD12" s="89">
        <f t="shared" si="3"/>
        <v>12155.0625</v>
      </c>
      <c r="BE12" s="89">
        <f t="shared" si="4"/>
        <v>12155.0625</v>
      </c>
      <c r="BF12" s="89">
        <f t="shared" si="4"/>
        <v>12155.0625</v>
      </c>
      <c r="BG12" s="89">
        <f t="shared" si="4"/>
        <v>12155.0625</v>
      </c>
      <c r="BH12" s="89">
        <f t="shared" si="4"/>
        <v>12155.0625</v>
      </c>
      <c r="BI12" s="89">
        <f t="shared" si="4"/>
        <v>12155.0625</v>
      </c>
      <c r="BJ12" s="89">
        <f t="shared" si="4"/>
        <v>12155.0625</v>
      </c>
      <c r="BK12" s="89">
        <f t="shared" si="4"/>
        <v>12155.0625</v>
      </c>
      <c r="BL12" s="89">
        <f t="shared" si="4"/>
        <v>12155.0625</v>
      </c>
      <c r="BM12" s="89">
        <f t="shared" si="4"/>
        <v>12155.0625</v>
      </c>
      <c r="BN12" s="89">
        <f t="shared" si="4"/>
        <v>12155.0625</v>
      </c>
      <c r="BO12" s="89">
        <f t="shared" si="4"/>
        <v>12155.0625</v>
      </c>
      <c r="BP12" s="89">
        <f t="shared" si="4"/>
        <v>12762.815625000001</v>
      </c>
    </row>
    <row r="13" spans="1:68" x14ac:dyDescent="0.25">
      <c r="A13" s="1"/>
      <c r="B13" s="1">
        <f>'Case Study'!A37</f>
        <v>1006</v>
      </c>
      <c r="C13" s="66">
        <f>'Case Study'!B37</f>
        <v>6000</v>
      </c>
      <c r="D13" s="89"/>
      <c r="E13" s="85"/>
      <c r="F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</row>
    <row r="14" spans="1:68" x14ac:dyDescent="0.25">
      <c r="A14" s="1"/>
      <c r="C14" s="84"/>
      <c r="D14" s="89"/>
      <c r="E14" s="85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</row>
    <row r="15" spans="1:68" x14ac:dyDescent="0.25">
      <c r="A15" s="1"/>
      <c r="B15" s="93" t="s">
        <v>32</v>
      </c>
      <c r="C15" s="41" t="s">
        <v>102</v>
      </c>
      <c r="D15" s="93" t="s">
        <v>107</v>
      </c>
      <c r="E15" s="86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</row>
    <row r="16" spans="1:68" x14ac:dyDescent="0.25">
      <c r="A16" s="1"/>
      <c r="B16" s="1">
        <v>1001</v>
      </c>
      <c r="C16">
        <f>C8/SUM($C$8:$C$12)</f>
        <v>0.2</v>
      </c>
      <c r="D16" s="89">
        <f>C16*$E$1</f>
        <v>25000</v>
      </c>
      <c r="F16" s="87"/>
      <c r="G16" s="87"/>
      <c r="H16" s="89">
        <f>($D16/$B$2)*(1+$E$2)^INT(H$3/$B$2)</f>
        <v>2083.3333333333335</v>
      </c>
      <c r="I16" s="89">
        <f t="shared" ref="I16:X20" si="7">($D16/$B$2)*(1+$E$2)^INT(I$3/$B$2)</f>
        <v>2083.3333333333335</v>
      </c>
      <c r="J16" s="89">
        <f t="shared" si="7"/>
        <v>2083.3333333333335</v>
      </c>
      <c r="K16" s="89">
        <f t="shared" si="7"/>
        <v>2083.3333333333335</v>
      </c>
      <c r="L16" s="89">
        <f t="shared" si="7"/>
        <v>2083.3333333333335</v>
      </c>
      <c r="M16" s="89">
        <f t="shared" si="7"/>
        <v>2083.3333333333335</v>
      </c>
      <c r="N16" s="89">
        <f t="shared" si="7"/>
        <v>2083.3333333333335</v>
      </c>
      <c r="O16" s="89">
        <f t="shared" si="7"/>
        <v>2083.3333333333335</v>
      </c>
      <c r="P16" s="89">
        <f t="shared" si="7"/>
        <v>2083.3333333333335</v>
      </c>
      <c r="Q16" s="89">
        <f t="shared" si="7"/>
        <v>2083.3333333333335</v>
      </c>
      <c r="R16" s="89">
        <f t="shared" si="7"/>
        <v>2083.3333333333335</v>
      </c>
      <c r="S16" s="89">
        <f t="shared" si="7"/>
        <v>2083.3333333333335</v>
      </c>
      <c r="T16" s="89">
        <f t="shared" si="7"/>
        <v>2125</v>
      </c>
      <c r="U16" s="89">
        <f t="shared" si="7"/>
        <v>2125</v>
      </c>
      <c r="V16" s="89">
        <f t="shared" si="7"/>
        <v>2125</v>
      </c>
      <c r="W16" s="89">
        <f t="shared" si="7"/>
        <v>2125</v>
      </c>
      <c r="X16" s="89">
        <f t="shared" si="7"/>
        <v>2125</v>
      </c>
      <c r="Y16" s="89">
        <f t="shared" ref="Y16:AN20" si="8">($D16/$B$2)*(1+$E$2)^INT(Y$3/$B$2)</f>
        <v>2125</v>
      </c>
      <c r="Z16" s="89">
        <f t="shared" si="8"/>
        <v>2125</v>
      </c>
      <c r="AA16" s="89">
        <f t="shared" si="8"/>
        <v>2125</v>
      </c>
      <c r="AB16" s="89">
        <f t="shared" si="8"/>
        <v>2125</v>
      </c>
      <c r="AC16" s="89">
        <f t="shared" si="8"/>
        <v>2125</v>
      </c>
      <c r="AD16" s="89">
        <f t="shared" si="8"/>
        <v>2125</v>
      </c>
      <c r="AE16" s="89">
        <f t="shared" si="8"/>
        <v>2125</v>
      </c>
      <c r="AF16" s="89">
        <f t="shared" si="8"/>
        <v>2167.5</v>
      </c>
      <c r="AG16" s="89">
        <f t="shared" si="8"/>
        <v>2167.5</v>
      </c>
      <c r="AH16" s="89">
        <f t="shared" si="8"/>
        <v>2167.5</v>
      </c>
      <c r="AI16" s="89">
        <f t="shared" si="8"/>
        <v>2167.5</v>
      </c>
      <c r="AJ16" s="89">
        <f t="shared" si="8"/>
        <v>2167.5</v>
      </c>
      <c r="AK16" s="89">
        <f t="shared" si="8"/>
        <v>2167.5</v>
      </c>
      <c r="AL16" s="89">
        <f t="shared" si="8"/>
        <v>2167.5</v>
      </c>
      <c r="AM16" s="89">
        <f t="shared" si="8"/>
        <v>2167.5</v>
      </c>
      <c r="AN16" s="89">
        <f t="shared" si="8"/>
        <v>2167.5</v>
      </c>
      <c r="AO16" s="89">
        <f t="shared" ref="AO16:BD20" si="9">($D16/$B$2)*(1+$E$2)^INT(AO$3/$B$2)</f>
        <v>2167.5</v>
      </c>
      <c r="AP16" s="89">
        <f t="shared" si="9"/>
        <v>2167.5</v>
      </c>
      <c r="AQ16" s="89">
        <f t="shared" si="9"/>
        <v>2167.5</v>
      </c>
      <c r="AR16" s="89">
        <f t="shared" si="9"/>
        <v>2210.85</v>
      </c>
      <c r="AS16" s="89">
        <f t="shared" si="9"/>
        <v>2210.85</v>
      </c>
      <c r="AT16" s="89">
        <f t="shared" si="9"/>
        <v>2210.85</v>
      </c>
      <c r="AU16" s="89">
        <f t="shared" si="9"/>
        <v>2210.85</v>
      </c>
      <c r="AV16" s="89">
        <f t="shared" si="9"/>
        <v>2210.85</v>
      </c>
      <c r="AW16" s="89">
        <f t="shared" si="9"/>
        <v>2210.85</v>
      </c>
      <c r="AX16" s="89">
        <f t="shared" si="9"/>
        <v>2210.85</v>
      </c>
      <c r="AY16" s="89">
        <f t="shared" si="9"/>
        <v>2210.85</v>
      </c>
      <c r="AZ16" s="89">
        <f t="shared" si="9"/>
        <v>2210.85</v>
      </c>
      <c r="BA16" s="89">
        <f t="shared" si="9"/>
        <v>2210.85</v>
      </c>
      <c r="BB16" s="89">
        <f t="shared" si="9"/>
        <v>2210.85</v>
      </c>
      <c r="BC16" s="89">
        <f t="shared" si="9"/>
        <v>2210.85</v>
      </c>
      <c r="BD16" s="89">
        <f t="shared" si="9"/>
        <v>2255.067</v>
      </c>
      <c r="BE16" s="89">
        <f t="shared" ref="BE16:BP20" si="10">($D16/$B$2)*(1+$E$2)^INT(BE$3/$B$2)</f>
        <v>2255.067</v>
      </c>
      <c r="BF16" s="89">
        <f t="shared" si="10"/>
        <v>2255.067</v>
      </c>
      <c r="BG16" s="89">
        <f t="shared" si="10"/>
        <v>2255.067</v>
      </c>
      <c r="BH16" s="89">
        <f t="shared" si="10"/>
        <v>2255.067</v>
      </c>
      <c r="BI16" s="89">
        <f t="shared" si="10"/>
        <v>2255.067</v>
      </c>
      <c r="BJ16" s="89">
        <f t="shared" si="10"/>
        <v>2255.067</v>
      </c>
      <c r="BK16" s="89">
        <f t="shared" si="10"/>
        <v>2255.067</v>
      </c>
      <c r="BL16" s="89">
        <f t="shared" si="10"/>
        <v>2255.067</v>
      </c>
      <c r="BM16" s="89">
        <f t="shared" si="10"/>
        <v>2255.067</v>
      </c>
      <c r="BN16" s="89">
        <f t="shared" si="10"/>
        <v>2255.067</v>
      </c>
      <c r="BO16" s="89">
        <f t="shared" si="10"/>
        <v>2255.067</v>
      </c>
      <c r="BP16" s="89">
        <f t="shared" si="10"/>
        <v>2300.1683400000002</v>
      </c>
    </row>
    <row r="17" spans="1:68" x14ac:dyDescent="0.25">
      <c r="A17" s="1"/>
      <c r="B17" s="1">
        <v>1002</v>
      </c>
      <c r="C17">
        <f>C9/SUM($C$8:$C$12)</f>
        <v>0.2</v>
      </c>
      <c r="D17" s="89">
        <f t="shared" ref="D17:D20" si="11">C17*$E$1</f>
        <v>25000</v>
      </c>
      <c r="F17" s="87"/>
      <c r="G17" s="87"/>
      <c r="H17" s="89">
        <f t="shared" ref="H17:H20" si="12">($D17/$B$2)*(1+$E$2)^INT(H$3/$B$2)</f>
        <v>2083.3333333333335</v>
      </c>
      <c r="I17" s="89">
        <f t="shared" si="7"/>
        <v>2083.3333333333335</v>
      </c>
      <c r="J17" s="89">
        <f t="shared" si="7"/>
        <v>2083.3333333333335</v>
      </c>
      <c r="K17" s="89">
        <f t="shared" si="7"/>
        <v>2083.3333333333335</v>
      </c>
      <c r="L17" s="89">
        <f t="shared" si="7"/>
        <v>2083.3333333333335</v>
      </c>
      <c r="M17" s="89">
        <f t="shared" si="7"/>
        <v>2083.3333333333335</v>
      </c>
      <c r="N17" s="89">
        <f t="shared" si="7"/>
        <v>2083.3333333333335</v>
      </c>
      <c r="O17" s="89">
        <f t="shared" si="7"/>
        <v>2083.3333333333335</v>
      </c>
      <c r="P17" s="89">
        <f t="shared" si="7"/>
        <v>2083.3333333333335</v>
      </c>
      <c r="Q17" s="89">
        <f t="shared" si="7"/>
        <v>2083.3333333333335</v>
      </c>
      <c r="R17" s="89">
        <f t="shared" si="7"/>
        <v>2083.3333333333335</v>
      </c>
      <c r="S17" s="89">
        <f t="shared" si="7"/>
        <v>2083.3333333333335</v>
      </c>
      <c r="T17" s="89">
        <f t="shared" si="7"/>
        <v>2125</v>
      </c>
      <c r="U17" s="89">
        <f t="shared" si="7"/>
        <v>2125</v>
      </c>
      <c r="V17" s="89">
        <f t="shared" si="7"/>
        <v>2125</v>
      </c>
      <c r="W17" s="89">
        <f t="shared" si="7"/>
        <v>2125</v>
      </c>
      <c r="X17" s="89">
        <f t="shared" si="7"/>
        <v>2125</v>
      </c>
      <c r="Y17" s="89">
        <f t="shared" si="8"/>
        <v>2125</v>
      </c>
      <c r="Z17" s="89">
        <f t="shared" si="8"/>
        <v>2125</v>
      </c>
      <c r="AA17" s="89">
        <f t="shared" si="8"/>
        <v>2125</v>
      </c>
      <c r="AB17" s="89">
        <f t="shared" si="8"/>
        <v>2125</v>
      </c>
      <c r="AC17" s="89">
        <f t="shared" si="8"/>
        <v>2125</v>
      </c>
      <c r="AD17" s="89">
        <f t="shared" si="8"/>
        <v>2125</v>
      </c>
      <c r="AE17" s="89">
        <f t="shared" si="8"/>
        <v>2125</v>
      </c>
      <c r="AF17" s="89">
        <f t="shared" si="8"/>
        <v>2167.5</v>
      </c>
      <c r="AG17" s="89">
        <f t="shared" si="8"/>
        <v>2167.5</v>
      </c>
      <c r="AH17" s="89">
        <f t="shared" si="8"/>
        <v>2167.5</v>
      </c>
      <c r="AI17" s="89">
        <f t="shared" si="8"/>
        <v>2167.5</v>
      </c>
      <c r="AJ17" s="89">
        <f t="shared" si="8"/>
        <v>2167.5</v>
      </c>
      <c r="AK17" s="89">
        <f t="shared" si="8"/>
        <v>2167.5</v>
      </c>
      <c r="AL17" s="89">
        <f t="shared" si="8"/>
        <v>2167.5</v>
      </c>
      <c r="AM17" s="89">
        <f t="shared" si="8"/>
        <v>2167.5</v>
      </c>
      <c r="AN17" s="89">
        <f t="shared" si="8"/>
        <v>2167.5</v>
      </c>
      <c r="AO17" s="89">
        <f t="shared" si="9"/>
        <v>2167.5</v>
      </c>
      <c r="AP17" s="89">
        <f t="shared" si="9"/>
        <v>2167.5</v>
      </c>
      <c r="AQ17" s="89">
        <f t="shared" si="9"/>
        <v>2167.5</v>
      </c>
      <c r="AR17" s="89">
        <f t="shared" si="9"/>
        <v>2210.85</v>
      </c>
      <c r="AS17" s="89">
        <f t="shared" si="9"/>
        <v>2210.85</v>
      </c>
      <c r="AT17" s="89">
        <f t="shared" si="9"/>
        <v>2210.85</v>
      </c>
      <c r="AU17" s="89">
        <f t="shared" si="9"/>
        <v>2210.85</v>
      </c>
      <c r="AV17" s="89">
        <f t="shared" si="9"/>
        <v>2210.85</v>
      </c>
      <c r="AW17" s="89">
        <f t="shared" si="9"/>
        <v>2210.85</v>
      </c>
      <c r="AX17" s="89">
        <f t="shared" si="9"/>
        <v>2210.85</v>
      </c>
      <c r="AY17" s="89">
        <f t="shared" si="9"/>
        <v>2210.85</v>
      </c>
      <c r="AZ17" s="89">
        <f t="shared" si="9"/>
        <v>2210.85</v>
      </c>
      <c r="BA17" s="89">
        <f t="shared" si="9"/>
        <v>2210.85</v>
      </c>
      <c r="BB17" s="89">
        <f t="shared" si="9"/>
        <v>2210.85</v>
      </c>
      <c r="BC17" s="89">
        <f t="shared" si="9"/>
        <v>2210.85</v>
      </c>
      <c r="BD17" s="89">
        <f t="shared" si="9"/>
        <v>2255.067</v>
      </c>
      <c r="BE17" s="89">
        <f t="shared" si="10"/>
        <v>2255.067</v>
      </c>
      <c r="BF17" s="89">
        <f t="shared" si="10"/>
        <v>2255.067</v>
      </c>
      <c r="BG17" s="89">
        <f t="shared" si="10"/>
        <v>2255.067</v>
      </c>
      <c r="BH17" s="89">
        <f t="shared" si="10"/>
        <v>2255.067</v>
      </c>
      <c r="BI17" s="89">
        <f t="shared" si="10"/>
        <v>2255.067</v>
      </c>
      <c r="BJ17" s="89">
        <f t="shared" si="10"/>
        <v>2255.067</v>
      </c>
      <c r="BK17" s="89">
        <f t="shared" si="10"/>
        <v>2255.067</v>
      </c>
      <c r="BL17" s="89">
        <f t="shared" si="10"/>
        <v>2255.067</v>
      </c>
      <c r="BM17" s="89">
        <f t="shared" si="10"/>
        <v>2255.067</v>
      </c>
      <c r="BN17" s="89">
        <f t="shared" si="10"/>
        <v>2255.067</v>
      </c>
      <c r="BO17" s="89">
        <f t="shared" si="10"/>
        <v>2255.067</v>
      </c>
      <c r="BP17" s="89">
        <f t="shared" si="10"/>
        <v>2300.1683400000002</v>
      </c>
    </row>
    <row r="18" spans="1:68" x14ac:dyDescent="0.25">
      <c r="A18" s="1"/>
      <c r="B18" s="1">
        <v>1003</v>
      </c>
      <c r="C18">
        <f>C10/SUM($C$8:$C$12)</f>
        <v>0.3</v>
      </c>
      <c r="D18" s="89">
        <f t="shared" si="11"/>
        <v>37500</v>
      </c>
      <c r="F18" s="87"/>
      <c r="G18" s="87"/>
      <c r="H18" s="89">
        <f t="shared" si="12"/>
        <v>3125</v>
      </c>
      <c r="I18" s="89">
        <f t="shared" si="7"/>
        <v>3125</v>
      </c>
      <c r="J18" s="89">
        <f t="shared" si="7"/>
        <v>3125</v>
      </c>
      <c r="K18" s="89">
        <f t="shared" si="7"/>
        <v>3125</v>
      </c>
      <c r="L18" s="89">
        <f t="shared" si="7"/>
        <v>3125</v>
      </c>
      <c r="M18" s="89">
        <f t="shared" si="7"/>
        <v>3125</v>
      </c>
      <c r="N18" s="89">
        <f t="shared" si="7"/>
        <v>3125</v>
      </c>
      <c r="O18" s="89">
        <f t="shared" si="7"/>
        <v>3125</v>
      </c>
      <c r="P18" s="89">
        <f t="shared" si="7"/>
        <v>3125</v>
      </c>
      <c r="Q18" s="89">
        <f t="shared" si="7"/>
        <v>3125</v>
      </c>
      <c r="R18" s="89">
        <f t="shared" si="7"/>
        <v>3125</v>
      </c>
      <c r="S18" s="89">
        <f t="shared" si="7"/>
        <v>3125</v>
      </c>
      <c r="T18" s="89">
        <f t="shared" si="7"/>
        <v>3187.5</v>
      </c>
      <c r="U18" s="89">
        <f t="shared" si="7"/>
        <v>3187.5</v>
      </c>
      <c r="V18" s="89">
        <f t="shared" si="7"/>
        <v>3187.5</v>
      </c>
      <c r="W18" s="89">
        <f t="shared" si="7"/>
        <v>3187.5</v>
      </c>
      <c r="X18" s="89">
        <f t="shared" si="7"/>
        <v>3187.5</v>
      </c>
      <c r="Y18" s="89">
        <f t="shared" si="8"/>
        <v>3187.5</v>
      </c>
      <c r="Z18" s="89">
        <f t="shared" si="8"/>
        <v>3187.5</v>
      </c>
      <c r="AA18" s="89">
        <f t="shared" si="8"/>
        <v>3187.5</v>
      </c>
      <c r="AB18" s="89">
        <f t="shared" si="8"/>
        <v>3187.5</v>
      </c>
      <c r="AC18" s="89">
        <f t="shared" si="8"/>
        <v>3187.5</v>
      </c>
      <c r="AD18" s="89">
        <f t="shared" si="8"/>
        <v>3187.5</v>
      </c>
      <c r="AE18" s="89">
        <f t="shared" si="8"/>
        <v>3187.5</v>
      </c>
      <c r="AF18" s="89">
        <f t="shared" si="8"/>
        <v>3251.25</v>
      </c>
      <c r="AG18" s="89">
        <f t="shared" si="8"/>
        <v>3251.25</v>
      </c>
      <c r="AH18" s="89">
        <f t="shared" si="8"/>
        <v>3251.25</v>
      </c>
      <c r="AI18" s="89">
        <f t="shared" si="8"/>
        <v>3251.25</v>
      </c>
      <c r="AJ18" s="89">
        <f t="shared" si="8"/>
        <v>3251.25</v>
      </c>
      <c r="AK18" s="89">
        <f t="shared" si="8"/>
        <v>3251.25</v>
      </c>
      <c r="AL18" s="89">
        <f t="shared" si="8"/>
        <v>3251.25</v>
      </c>
      <c r="AM18" s="89">
        <f t="shared" si="8"/>
        <v>3251.25</v>
      </c>
      <c r="AN18" s="89">
        <f t="shared" si="8"/>
        <v>3251.25</v>
      </c>
      <c r="AO18" s="89">
        <f t="shared" si="9"/>
        <v>3251.25</v>
      </c>
      <c r="AP18" s="89">
        <f t="shared" si="9"/>
        <v>3251.25</v>
      </c>
      <c r="AQ18" s="89">
        <f t="shared" si="9"/>
        <v>3251.25</v>
      </c>
      <c r="AR18" s="89">
        <f t="shared" si="9"/>
        <v>3316.2749999999996</v>
      </c>
      <c r="AS18" s="89">
        <f t="shared" si="9"/>
        <v>3316.2749999999996</v>
      </c>
      <c r="AT18" s="89">
        <f t="shared" si="9"/>
        <v>3316.2749999999996</v>
      </c>
      <c r="AU18" s="89">
        <f t="shared" si="9"/>
        <v>3316.2749999999996</v>
      </c>
      <c r="AV18" s="89">
        <f t="shared" si="9"/>
        <v>3316.2749999999996</v>
      </c>
      <c r="AW18" s="89">
        <f t="shared" si="9"/>
        <v>3316.2749999999996</v>
      </c>
      <c r="AX18" s="89">
        <f t="shared" si="9"/>
        <v>3316.2749999999996</v>
      </c>
      <c r="AY18" s="89">
        <f t="shared" si="9"/>
        <v>3316.2749999999996</v>
      </c>
      <c r="AZ18" s="89">
        <f t="shared" si="9"/>
        <v>3316.2749999999996</v>
      </c>
      <c r="BA18" s="89">
        <f t="shared" si="9"/>
        <v>3316.2749999999996</v>
      </c>
      <c r="BB18" s="89">
        <f t="shared" si="9"/>
        <v>3316.2749999999996</v>
      </c>
      <c r="BC18" s="89">
        <f t="shared" si="9"/>
        <v>3316.2749999999996</v>
      </c>
      <c r="BD18" s="89">
        <f t="shared" si="9"/>
        <v>3382.6005</v>
      </c>
      <c r="BE18" s="89">
        <f t="shared" si="10"/>
        <v>3382.6005</v>
      </c>
      <c r="BF18" s="89">
        <f t="shared" si="10"/>
        <v>3382.6005</v>
      </c>
      <c r="BG18" s="89">
        <f t="shared" si="10"/>
        <v>3382.6005</v>
      </c>
      <c r="BH18" s="89">
        <f t="shared" si="10"/>
        <v>3382.6005</v>
      </c>
      <c r="BI18" s="89">
        <f t="shared" si="10"/>
        <v>3382.6005</v>
      </c>
      <c r="BJ18" s="89">
        <f t="shared" si="10"/>
        <v>3382.6005</v>
      </c>
      <c r="BK18" s="89">
        <f t="shared" si="10"/>
        <v>3382.6005</v>
      </c>
      <c r="BL18" s="89">
        <f t="shared" si="10"/>
        <v>3382.6005</v>
      </c>
      <c r="BM18" s="89">
        <f t="shared" si="10"/>
        <v>3382.6005</v>
      </c>
      <c r="BN18" s="89">
        <f t="shared" si="10"/>
        <v>3382.6005</v>
      </c>
      <c r="BO18" s="89">
        <f t="shared" si="10"/>
        <v>3382.6005</v>
      </c>
      <c r="BP18" s="89">
        <f t="shared" si="10"/>
        <v>3450.2525100000003</v>
      </c>
    </row>
    <row r="19" spans="1:68" x14ac:dyDescent="0.25">
      <c r="A19" s="1"/>
      <c r="B19" s="1">
        <v>1004</v>
      </c>
      <c r="C19">
        <f>C11/SUM($C$8:$C$12)</f>
        <v>0.1</v>
      </c>
      <c r="D19" s="89">
        <f t="shared" si="11"/>
        <v>12500</v>
      </c>
      <c r="H19" s="89">
        <f t="shared" si="12"/>
        <v>1041.6666666666667</v>
      </c>
      <c r="I19" s="89">
        <f t="shared" si="7"/>
        <v>1041.6666666666667</v>
      </c>
      <c r="J19" s="89">
        <f t="shared" si="7"/>
        <v>1041.6666666666667</v>
      </c>
      <c r="K19" s="89">
        <f t="shared" si="7"/>
        <v>1041.6666666666667</v>
      </c>
      <c r="L19" s="89">
        <f t="shared" si="7"/>
        <v>1041.6666666666667</v>
      </c>
      <c r="M19" s="89">
        <f t="shared" si="7"/>
        <v>1041.6666666666667</v>
      </c>
      <c r="N19" s="89">
        <f t="shared" si="7"/>
        <v>1041.6666666666667</v>
      </c>
      <c r="O19" s="89">
        <f t="shared" si="7"/>
        <v>1041.6666666666667</v>
      </c>
      <c r="P19" s="89">
        <f t="shared" si="7"/>
        <v>1041.6666666666667</v>
      </c>
      <c r="Q19" s="89">
        <f t="shared" si="7"/>
        <v>1041.6666666666667</v>
      </c>
      <c r="R19" s="89">
        <f t="shared" si="7"/>
        <v>1041.6666666666667</v>
      </c>
      <c r="S19" s="89">
        <f t="shared" si="7"/>
        <v>1041.6666666666667</v>
      </c>
      <c r="T19" s="89">
        <f t="shared" si="7"/>
        <v>1062.5</v>
      </c>
      <c r="U19" s="89">
        <f t="shared" si="7"/>
        <v>1062.5</v>
      </c>
      <c r="V19" s="89">
        <f t="shared" si="7"/>
        <v>1062.5</v>
      </c>
      <c r="W19" s="89">
        <f t="shared" si="7"/>
        <v>1062.5</v>
      </c>
      <c r="X19" s="89">
        <f t="shared" si="7"/>
        <v>1062.5</v>
      </c>
      <c r="Y19" s="89">
        <f t="shared" si="8"/>
        <v>1062.5</v>
      </c>
      <c r="Z19" s="89">
        <f t="shared" si="8"/>
        <v>1062.5</v>
      </c>
      <c r="AA19" s="89">
        <f t="shared" si="8"/>
        <v>1062.5</v>
      </c>
      <c r="AB19" s="89">
        <f t="shared" si="8"/>
        <v>1062.5</v>
      </c>
      <c r="AC19" s="89">
        <f t="shared" si="8"/>
        <v>1062.5</v>
      </c>
      <c r="AD19" s="89">
        <f t="shared" si="8"/>
        <v>1062.5</v>
      </c>
      <c r="AE19" s="89">
        <f t="shared" si="8"/>
        <v>1062.5</v>
      </c>
      <c r="AF19" s="89">
        <f t="shared" si="8"/>
        <v>1083.75</v>
      </c>
      <c r="AG19" s="89">
        <f t="shared" si="8"/>
        <v>1083.75</v>
      </c>
      <c r="AH19" s="89">
        <f t="shared" si="8"/>
        <v>1083.75</v>
      </c>
      <c r="AI19" s="89">
        <f t="shared" si="8"/>
        <v>1083.75</v>
      </c>
      <c r="AJ19" s="89">
        <f t="shared" si="8"/>
        <v>1083.75</v>
      </c>
      <c r="AK19" s="89">
        <f t="shared" si="8"/>
        <v>1083.75</v>
      </c>
      <c r="AL19" s="89">
        <f t="shared" si="8"/>
        <v>1083.75</v>
      </c>
      <c r="AM19" s="89">
        <f t="shared" si="8"/>
        <v>1083.75</v>
      </c>
      <c r="AN19" s="89">
        <f t="shared" si="8"/>
        <v>1083.75</v>
      </c>
      <c r="AO19" s="89">
        <f t="shared" si="9"/>
        <v>1083.75</v>
      </c>
      <c r="AP19" s="89">
        <f t="shared" si="9"/>
        <v>1083.75</v>
      </c>
      <c r="AQ19" s="89">
        <f t="shared" si="9"/>
        <v>1083.75</v>
      </c>
      <c r="AR19" s="89">
        <f t="shared" si="9"/>
        <v>1105.425</v>
      </c>
      <c r="AS19" s="89">
        <f t="shared" si="9"/>
        <v>1105.425</v>
      </c>
      <c r="AT19" s="89">
        <f t="shared" si="9"/>
        <v>1105.425</v>
      </c>
      <c r="AU19" s="89">
        <f t="shared" si="9"/>
        <v>1105.425</v>
      </c>
      <c r="AV19" s="89">
        <f t="shared" si="9"/>
        <v>1105.425</v>
      </c>
      <c r="AW19" s="89">
        <f t="shared" si="9"/>
        <v>1105.425</v>
      </c>
      <c r="AX19" s="89">
        <f t="shared" si="9"/>
        <v>1105.425</v>
      </c>
      <c r="AY19" s="89">
        <f t="shared" si="9"/>
        <v>1105.425</v>
      </c>
      <c r="AZ19" s="89">
        <f t="shared" si="9"/>
        <v>1105.425</v>
      </c>
      <c r="BA19" s="89">
        <f t="shared" si="9"/>
        <v>1105.425</v>
      </c>
      <c r="BB19" s="89">
        <f t="shared" si="9"/>
        <v>1105.425</v>
      </c>
      <c r="BC19" s="89">
        <f t="shared" si="9"/>
        <v>1105.425</v>
      </c>
      <c r="BD19" s="89">
        <f t="shared" si="9"/>
        <v>1127.5335</v>
      </c>
      <c r="BE19" s="89">
        <f t="shared" si="10"/>
        <v>1127.5335</v>
      </c>
      <c r="BF19" s="89">
        <f t="shared" si="10"/>
        <v>1127.5335</v>
      </c>
      <c r="BG19" s="89">
        <f t="shared" si="10"/>
        <v>1127.5335</v>
      </c>
      <c r="BH19" s="89">
        <f t="shared" si="10"/>
        <v>1127.5335</v>
      </c>
      <c r="BI19" s="89">
        <f t="shared" si="10"/>
        <v>1127.5335</v>
      </c>
      <c r="BJ19" s="89">
        <f t="shared" si="10"/>
        <v>1127.5335</v>
      </c>
      <c r="BK19" s="89">
        <f t="shared" si="10"/>
        <v>1127.5335</v>
      </c>
      <c r="BL19" s="89">
        <f t="shared" si="10"/>
        <v>1127.5335</v>
      </c>
      <c r="BM19" s="89">
        <f t="shared" si="10"/>
        <v>1127.5335</v>
      </c>
      <c r="BN19" s="89">
        <f t="shared" si="10"/>
        <v>1127.5335</v>
      </c>
      <c r="BO19" s="89">
        <f t="shared" si="10"/>
        <v>1127.5335</v>
      </c>
      <c r="BP19" s="89">
        <f t="shared" si="10"/>
        <v>1150.0841700000001</v>
      </c>
    </row>
    <row r="20" spans="1:68" x14ac:dyDescent="0.25">
      <c r="A20" s="1"/>
      <c r="B20" s="1">
        <v>1005</v>
      </c>
      <c r="C20">
        <f>C12/SUM($C$8:$C$12)</f>
        <v>0.2</v>
      </c>
      <c r="D20" s="89">
        <f t="shared" si="11"/>
        <v>25000</v>
      </c>
      <c r="E20" s="85"/>
      <c r="F20" s="88"/>
      <c r="G20" s="88"/>
      <c r="H20" s="89">
        <f t="shared" si="12"/>
        <v>2083.3333333333335</v>
      </c>
      <c r="I20" s="89">
        <f t="shared" si="7"/>
        <v>2083.3333333333335</v>
      </c>
      <c r="J20" s="89">
        <f t="shared" si="7"/>
        <v>2083.3333333333335</v>
      </c>
      <c r="K20" s="89">
        <f t="shared" si="7"/>
        <v>2083.3333333333335</v>
      </c>
      <c r="L20" s="89">
        <f t="shared" si="7"/>
        <v>2083.3333333333335</v>
      </c>
      <c r="M20" s="89">
        <f t="shared" si="7"/>
        <v>2083.3333333333335</v>
      </c>
      <c r="N20" s="89">
        <f t="shared" si="7"/>
        <v>2083.3333333333335</v>
      </c>
      <c r="O20" s="89">
        <f t="shared" si="7"/>
        <v>2083.3333333333335</v>
      </c>
      <c r="P20" s="89">
        <f t="shared" si="7"/>
        <v>2083.3333333333335</v>
      </c>
      <c r="Q20" s="89">
        <f t="shared" si="7"/>
        <v>2083.3333333333335</v>
      </c>
      <c r="R20" s="89">
        <f t="shared" si="7"/>
        <v>2083.3333333333335</v>
      </c>
      <c r="S20" s="89">
        <f t="shared" si="7"/>
        <v>2083.3333333333335</v>
      </c>
      <c r="T20" s="89">
        <f t="shared" si="7"/>
        <v>2125</v>
      </c>
      <c r="U20" s="89">
        <f t="shared" si="7"/>
        <v>2125</v>
      </c>
      <c r="V20" s="89">
        <f t="shared" si="7"/>
        <v>2125</v>
      </c>
      <c r="W20" s="89">
        <f t="shared" si="7"/>
        <v>2125</v>
      </c>
      <c r="X20" s="89">
        <f t="shared" si="7"/>
        <v>2125</v>
      </c>
      <c r="Y20" s="89">
        <f t="shared" si="8"/>
        <v>2125</v>
      </c>
      <c r="Z20" s="89">
        <f t="shared" si="8"/>
        <v>2125</v>
      </c>
      <c r="AA20" s="89">
        <f t="shared" si="8"/>
        <v>2125</v>
      </c>
      <c r="AB20" s="89">
        <f t="shared" si="8"/>
        <v>2125</v>
      </c>
      <c r="AC20" s="89">
        <f t="shared" si="8"/>
        <v>2125</v>
      </c>
      <c r="AD20" s="89">
        <f t="shared" si="8"/>
        <v>2125</v>
      </c>
      <c r="AE20" s="89">
        <f t="shared" si="8"/>
        <v>2125</v>
      </c>
      <c r="AF20" s="89">
        <f t="shared" si="8"/>
        <v>2167.5</v>
      </c>
      <c r="AG20" s="89">
        <f t="shared" si="8"/>
        <v>2167.5</v>
      </c>
      <c r="AH20" s="89">
        <f t="shared" si="8"/>
        <v>2167.5</v>
      </c>
      <c r="AI20" s="89">
        <f t="shared" si="8"/>
        <v>2167.5</v>
      </c>
      <c r="AJ20" s="89">
        <f t="shared" si="8"/>
        <v>2167.5</v>
      </c>
      <c r="AK20" s="89">
        <f t="shared" si="8"/>
        <v>2167.5</v>
      </c>
      <c r="AL20" s="89">
        <f t="shared" si="8"/>
        <v>2167.5</v>
      </c>
      <c r="AM20" s="89">
        <f t="shared" si="8"/>
        <v>2167.5</v>
      </c>
      <c r="AN20" s="89">
        <f t="shared" si="8"/>
        <v>2167.5</v>
      </c>
      <c r="AO20" s="89">
        <f t="shared" si="9"/>
        <v>2167.5</v>
      </c>
      <c r="AP20" s="89">
        <f t="shared" si="9"/>
        <v>2167.5</v>
      </c>
      <c r="AQ20" s="89">
        <f t="shared" si="9"/>
        <v>2167.5</v>
      </c>
      <c r="AR20" s="89">
        <f t="shared" si="9"/>
        <v>2210.85</v>
      </c>
      <c r="AS20" s="89">
        <f t="shared" si="9"/>
        <v>2210.85</v>
      </c>
      <c r="AT20" s="89">
        <f t="shared" si="9"/>
        <v>2210.85</v>
      </c>
      <c r="AU20" s="89">
        <f t="shared" si="9"/>
        <v>2210.85</v>
      </c>
      <c r="AV20" s="89">
        <f t="shared" si="9"/>
        <v>2210.85</v>
      </c>
      <c r="AW20" s="89">
        <f t="shared" si="9"/>
        <v>2210.85</v>
      </c>
      <c r="AX20" s="89">
        <f t="shared" si="9"/>
        <v>2210.85</v>
      </c>
      <c r="AY20" s="89">
        <f t="shared" si="9"/>
        <v>2210.85</v>
      </c>
      <c r="AZ20" s="89">
        <f t="shared" si="9"/>
        <v>2210.85</v>
      </c>
      <c r="BA20" s="89">
        <f t="shared" si="9"/>
        <v>2210.85</v>
      </c>
      <c r="BB20" s="89">
        <f t="shared" si="9"/>
        <v>2210.85</v>
      </c>
      <c r="BC20" s="89">
        <f t="shared" si="9"/>
        <v>2210.85</v>
      </c>
      <c r="BD20" s="89">
        <f t="shared" si="9"/>
        <v>2255.067</v>
      </c>
      <c r="BE20" s="89">
        <f t="shared" si="10"/>
        <v>2255.067</v>
      </c>
      <c r="BF20" s="89">
        <f t="shared" si="10"/>
        <v>2255.067</v>
      </c>
      <c r="BG20" s="89">
        <f t="shared" si="10"/>
        <v>2255.067</v>
      </c>
      <c r="BH20" s="89">
        <f t="shared" si="10"/>
        <v>2255.067</v>
      </c>
      <c r="BI20" s="89">
        <f t="shared" si="10"/>
        <v>2255.067</v>
      </c>
      <c r="BJ20" s="89">
        <f t="shared" si="10"/>
        <v>2255.067</v>
      </c>
      <c r="BK20" s="89">
        <f t="shared" si="10"/>
        <v>2255.067</v>
      </c>
      <c r="BL20" s="89">
        <f t="shared" si="10"/>
        <v>2255.067</v>
      </c>
      <c r="BM20" s="89">
        <f t="shared" si="10"/>
        <v>2255.067</v>
      </c>
      <c r="BN20" s="89">
        <f t="shared" si="10"/>
        <v>2255.067</v>
      </c>
      <c r="BO20" s="89">
        <f t="shared" si="10"/>
        <v>2255.067</v>
      </c>
      <c r="BP20" s="89">
        <f t="shared" si="10"/>
        <v>2300.1683400000002</v>
      </c>
    </row>
    <row r="21" spans="1:68" x14ac:dyDescent="0.25">
      <c r="A21" s="1"/>
      <c r="B21" s="1">
        <v>1006</v>
      </c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</row>
    <row r="22" spans="1:68" x14ac:dyDescent="0.25">
      <c r="A22" s="1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</row>
    <row r="23" spans="1:68" x14ac:dyDescent="0.25">
      <c r="A23" s="83" t="s">
        <v>104</v>
      </c>
      <c r="D23" s="1" t="s">
        <v>108</v>
      </c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</row>
    <row r="24" spans="1:68" x14ac:dyDescent="0.25">
      <c r="A24" s="1"/>
      <c r="B24" s="1" t="s">
        <v>57</v>
      </c>
      <c r="D24" s="89">
        <f>'Case Study'!B51</f>
        <v>20000</v>
      </c>
      <c r="H24" s="89">
        <f>($D24/$B$2)*(1+$E$2)^INT(H$3/$B$2)</f>
        <v>1666.6666666666667</v>
      </c>
      <c r="I24" s="89">
        <f t="shared" ref="I24:X25" si="13">($D24/$B$2)*(1+$E$2)^INT(I$3/$B$2)</f>
        <v>1666.6666666666667</v>
      </c>
      <c r="J24" s="89">
        <f t="shared" si="13"/>
        <v>1666.6666666666667</v>
      </c>
      <c r="K24" s="89">
        <f t="shared" si="13"/>
        <v>1666.6666666666667</v>
      </c>
      <c r="L24" s="89">
        <f t="shared" si="13"/>
        <v>1666.6666666666667</v>
      </c>
      <c r="M24" s="89">
        <f t="shared" si="13"/>
        <v>1666.6666666666667</v>
      </c>
      <c r="N24" s="89">
        <f t="shared" si="13"/>
        <v>1666.6666666666667</v>
      </c>
      <c r="O24" s="89">
        <f t="shared" si="13"/>
        <v>1666.6666666666667</v>
      </c>
      <c r="P24" s="89">
        <f t="shared" si="13"/>
        <v>1666.6666666666667</v>
      </c>
      <c r="Q24" s="89">
        <f t="shared" si="13"/>
        <v>1666.6666666666667</v>
      </c>
      <c r="R24" s="89">
        <f t="shared" si="13"/>
        <v>1666.6666666666667</v>
      </c>
      <c r="S24" s="89">
        <f t="shared" si="13"/>
        <v>1666.6666666666667</v>
      </c>
      <c r="T24" s="89">
        <f t="shared" si="13"/>
        <v>1700</v>
      </c>
      <c r="U24" s="89">
        <f t="shared" si="13"/>
        <v>1700</v>
      </c>
      <c r="V24" s="89">
        <f t="shared" si="13"/>
        <v>1700</v>
      </c>
      <c r="W24" s="89">
        <f t="shared" si="13"/>
        <v>1700</v>
      </c>
      <c r="X24" s="89">
        <f t="shared" si="13"/>
        <v>1700</v>
      </c>
      <c r="Y24" s="89">
        <f t="shared" ref="Y24:AN25" si="14">($D24/$B$2)*(1+$E$2)^INT(Y$3/$B$2)</f>
        <v>1700</v>
      </c>
      <c r="Z24" s="89">
        <f t="shared" si="14"/>
        <v>1700</v>
      </c>
      <c r="AA24" s="89">
        <f t="shared" si="14"/>
        <v>1700</v>
      </c>
      <c r="AB24" s="89">
        <f t="shared" si="14"/>
        <v>1700</v>
      </c>
      <c r="AC24" s="89">
        <f t="shared" si="14"/>
        <v>1700</v>
      </c>
      <c r="AD24" s="89">
        <f t="shared" si="14"/>
        <v>1700</v>
      </c>
      <c r="AE24" s="89">
        <f t="shared" si="14"/>
        <v>1700</v>
      </c>
      <c r="AF24" s="89">
        <f t="shared" si="14"/>
        <v>1734</v>
      </c>
      <c r="AG24" s="89">
        <f t="shared" si="14"/>
        <v>1734</v>
      </c>
      <c r="AH24" s="89">
        <f t="shared" si="14"/>
        <v>1734</v>
      </c>
      <c r="AI24" s="89">
        <f t="shared" si="14"/>
        <v>1734</v>
      </c>
      <c r="AJ24" s="89">
        <f t="shared" si="14"/>
        <v>1734</v>
      </c>
      <c r="AK24" s="89">
        <f t="shared" si="14"/>
        <v>1734</v>
      </c>
      <c r="AL24" s="89">
        <f t="shared" si="14"/>
        <v>1734</v>
      </c>
      <c r="AM24" s="89">
        <f t="shared" si="14"/>
        <v>1734</v>
      </c>
      <c r="AN24" s="89">
        <f t="shared" si="14"/>
        <v>1734</v>
      </c>
      <c r="AO24" s="89">
        <f t="shared" ref="AO24:BD25" si="15">($D24/$B$2)*(1+$E$2)^INT(AO$3/$B$2)</f>
        <v>1734</v>
      </c>
      <c r="AP24" s="89">
        <f t="shared" si="15"/>
        <v>1734</v>
      </c>
      <c r="AQ24" s="89">
        <f t="shared" si="15"/>
        <v>1734</v>
      </c>
      <c r="AR24" s="89">
        <f t="shared" si="15"/>
        <v>1768.68</v>
      </c>
      <c r="AS24" s="89">
        <f t="shared" si="15"/>
        <v>1768.68</v>
      </c>
      <c r="AT24" s="89">
        <f t="shared" si="15"/>
        <v>1768.68</v>
      </c>
      <c r="AU24" s="89">
        <f t="shared" si="15"/>
        <v>1768.68</v>
      </c>
      <c r="AV24" s="89">
        <f t="shared" si="15"/>
        <v>1768.68</v>
      </c>
      <c r="AW24" s="89">
        <f t="shared" si="15"/>
        <v>1768.68</v>
      </c>
      <c r="AX24" s="89">
        <f t="shared" si="15"/>
        <v>1768.68</v>
      </c>
      <c r="AY24" s="89">
        <f t="shared" si="15"/>
        <v>1768.68</v>
      </c>
      <c r="AZ24" s="89">
        <f t="shared" si="15"/>
        <v>1768.68</v>
      </c>
      <c r="BA24" s="89">
        <f t="shared" si="15"/>
        <v>1768.68</v>
      </c>
      <c r="BB24" s="89">
        <f t="shared" si="15"/>
        <v>1768.68</v>
      </c>
      <c r="BC24" s="89">
        <f t="shared" si="15"/>
        <v>1768.68</v>
      </c>
      <c r="BD24" s="89">
        <f t="shared" si="15"/>
        <v>1804.0536</v>
      </c>
      <c r="BE24" s="89">
        <f t="shared" ref="BE24:BP25" si="16">($D24/$B$2)*(1+$E$2)^INT(BE$3/$B$2)</f>
        <v>1804.0536</v>
      </c>
      <c r="BF24" s="89">
        <f t="shared" si="16"/>
        <v>1804.0536</v>
      </c>
      <c r="BG24" s="89">
        <f t="shared" si="16"/>
        <v>1804.0536</v>
      </c>
      <c r="BH24" s="89">
        <f t="shared" si="16"/>
        <v>1804.0536</v>
      </c>
      <c r="BI24" s="89">
        <f t="shared" si="16"/>
        <v>1804.0536</v>
      </c>
      <c r="BJ24" s="89">
        <f t="shared" si="16"/>
        <v>1804.0536</v>
      </c>
      <c r="BK24" s="89">
        <f t="shared" si="16"/>
        <v>1804.0536</v>
      </c>
      <c r="BL24" s="89">
        <f t="shared" si="16"/>
        <v>1804.0536</v>
      </c>
      <c r="BM24" s="89">
        <f t="shared" si="16"/>
        <v>1804.0536</v>
      </c>
      <c r="BN24" s="89">
        <f t="shared" si="16"/>
        <v>1804.0536</v>
      </c>
      <c r="BO24" s="89">
        <f t="shared" si="16"/>
        <v>1804.0536</v>
      </c>
      <c r="BP24" s="89">
        <f t="shared" si="16"/>
        <v>1840.1346720000001</v>
      </c>
    </row>
    <row r="25" spans="1:68" x14ac:dyDescent="0.25">
      <c r="A25" s="1"/>
      <c r="B25" s="1" t="s">
        <v>58</v>
      </c>
      <c r="D25" s="89">
        <f>'Case Study'!B52</f>
        <v>45000</v>
      </c>
      <c r="H25" s="89">
        <f t="shared" ref="H25" si="17">($D25/$B$2)*(1+$E$2)^INT(H$3/$B$2)</f>
        <v>3750</v>
      </c>
      <c r="I25" s="89">
        <f t="shared" si="13"/>
        <v>3750</v>
      </c>
      <c r="J25" s="89">
        <f t="shared" si="13"/>
        <v>3750</v>
      </c>
      <c r="K25" s="89">
        <f t="shared" si="13"/>
        <v>3750</v>
      </c>
      <c r="L25" s="89">
        <f t="shared" si="13"/>
        <v>3750</v>
      </c>
      <c r="M25" s="89">
        <f t="shared" si="13"/>
        <v>3750</v>
      </c>
      <c r="N25" s="89">
        <f t="shared" si="13"/>
        <v>3750</v>
      </c>
      <c r="O25" s="89">
        <f t="shared" si="13"/>
        <v>3750</v>
      </c>
      <c r="P25" s="89">
        <f t="shared" si="13"/>
        <v>3750</v>
      </c>
      <c r="Q25" s="89">
        <f t="shared" si="13"/>
        <v>3750</v>
      </c>
      <c r="R25" s="89">
        <f t="shared" si="13"/>
        <v>3750</v>
      </c>
      <c r="S25" s="89">
        <f t="shared" si="13"/>
        <v>3750</v>
      </c>
      <c r="T25" s="89">
        <f t="shared" si="13"/>
        <v>3825</v>
      </c>
      <c r="U25" s="89">
        <f t="shared" si="13"/>
        <v>3825</v>
      </c>
      <c r="V25" s="89">
        <f t="shared" si="13"/>
        <v>3825</v>
      </c>
      <c r="W25" s="89">
        <f t="shared" si="13"/>
        <v>3825</v>
      </c>
      <c r="X25" s="89">
        <f t="shared" si="13"/>
        <v>3825</v>
      </c>
      <c r="Y25" s="89">
        <f t="shared" si="14"/>
        <v>3825</v>
      </c>
      <c r="Z25" s="89">
        <f t="shared" si="14"/>
        <v>3825</v>
      </c>
      <c r="AA25" s="89">
        <f t="shared" si="14"/>
        <v>3825</v>
      </c>
      <c r="AB25" s="89">
        <f t="shared" si="14"/>
        <v>3825</v>
      </c>
      <c r="AC25" s="89">
        <f t="shared" si="14"/>
        <v>3825</v>
      </c>
      <c r="AD25" s="89">
        <f t="shared" si="14"/>
        <v>3825</v>
      </c>
      <c r="AE25" s="89">
        <f t="shared" si="14"/>
        <v>3825</v>
      </c>
      <c r="AF25" s="89">
        <f t="shared" si="14"/>
        <v>3901.5</v>
      </c>
      <c r="AG25" s="89">
        <f t="shared" si="14"/>
        <v>3901.5</v>
      </c>
      <c r="AH25" s="89">
        <f t="shared" si="14"/>
        <v>3901.5</v>
      </c>
      <c r="AI25" s="89">
        <f t="shared" si="14"/>
        <v>3901.5</v>
      </c>
      <c r="AJ25" s="89">
        <f t="shared" si="14"/>
        <v>3901.5</v>
      </c>
      <c r="AK25" s="89">
        <f t="shared" si="14"/>
        <v>3901.5</v>
      </c>
      <c r="AL25" s="89">
        <f t="shared" si="14"/>
        <v>3901.5</v>
      </c>
      <c r="AM25" s="89">
        <f t="shared" si="14"/>
        <v>3901.5</v>
      </c>
      <c r="AN25" s="89">
        <f t="shared" si="14"/>
        <v>3901.5</v>
      </c>
      <c r="AO25" s="89">
        <f t="shared" si="15"/>
        <v>3901.5</v>
      </c>
      <c r="AP25" s="89">
        <f t="shared" si="15"/>
        <v>3901.5</v>
      </c>
      <c r="AQ25" s="89">
        <f t="shared" si="15"/>
        <v>3901.5</v>
      </c>
      <c r="AR25" s="89">
        <f t="shared" si="15"/>
        <v>3979.5299999999997</v>
      </c>
      <c r="AS25" s="89">
        <f t="shared" si="15"/>
        <v>3979.5299999999997</v>
      </c>
      <c r="AT25" s="89">
        <f t="shared" si="15"/>
        <v>3979.5299999999997</v>
      </c>
      <c r="AU25" s="89">
        <f t="shared" si="15"/>
        <v>3979.5299999999997</v>
      </c>
      <c r="AV25" s="89">
        <f t="shared" si="15"/>
        <v>3979.5299999999997</v>
      </c>
      <c r="AW25" s="89">
        <f t="shared" si="15"/>
        <v>3979.5299999999997</v>
      </c>
      <c r="AX25" s="89">
        <f t="shared" si="15"/>
        <v>3979.5299999999997</v>
      </c>
      <c r="AY25" s="89">
        <f t="shared" si="15"/>
        <v>3979.5299999999997</v>
      </c>
      <c r="AZ25" s="89">
        <f t="shared" si="15"/>
        <v>3979.5299999999997</v>
      </c>
      <c r="BA25" s="89">
        <f t="shared" si="15"/>
        <v>3979.5299999999997</v>
      </c>
      <c r="BB25" s="89">
        <f t="shared" si="15"/>
        <v>3979.5299999999997</v>
      </c>
      <c r="BC25" s="89">
        <f t="shared" si="15"/>
        <v>3979.5299999999997</v>
      </c>
      <c r="BD25" s="89">
        <f t="shared" si="15"/>
        <v>4059.1205999999997</v>
      </c>
      <c r="BE25" s="89">
        <f t="shared" si="16"/>
        <v>4059.1205999999997</v>
      </c>
      <c r="BF25" s="89">
        <f t="shared" si="16"/>
        <v>4059.1205999999997</v>
      </c>
      <c r="BG25" s="89">
        <f t="shared" si="16"/>
        <v>4059.1205999999997</v>
      </c>
      <c r="BH25" s="89">
        <f t="shared" si="16"/>
        <v>4059.1205999999997</v>
      </c>
      <c r="BI25" s="89">
        <f t="shared" si="16"/>
        <v>4059.1205999999997</v>
      </c>
      <c r="BJ25" s="89">
        <f t="shared" si="16"/>
        <v>4059.1205999999997</v>
      </c>
      <c r="BK25" s="89">
        <f t="shared" si="16"/>
        <v>4059.1205999999997</v>
      </c>
      <c r="BL25" s="89">
        <f t="shared" si="16"/>
        <v>4059.1205999999997</v>
      </c>
      <c r="BM25" s="89">
        <f t="shared" si="16"/>
        <v>4059.1205999999997</v>
      </c>
      <c r="BN25" s="89">
        <f t="shared" si="16"/>
        <v>4059.1205999999997</v>
      </c>
      <c r="BO25" s="89">
        <f t="shared" si="16"/>
        <v>4059.1205999999997</v>
      </c>
      <c r="BP25" s="89">
        <f t="shared" si="16"/>
        <v>4140.3030120000003</v>
      </c>
    </row>
    <row r="26" spans="1:68" x14ac:dyDescent="0.25">
      <c r="A26" s="1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</row>
    <row r="27" spans="1:68" x14ac:dyDescent="0.25">
      <c r="A27" s="83" t="s">
        <v>83</v>
      </c>
      <c r="H27" s="89">
        <f>SUM(H8:H12)+SUM(H16:H20)-SUM(H24:H25)</f>
        <v>53145.833333333336</v>
      </c>
      <c r="I27" s="89">
        <f t="shared" ref="I27:BP27" si="18">SUM(I8:I12)+SUM(I16:I20)-SUM(I24:I25)</f>
        <v>53145.833333333336</v>
      </c>
      <c r="J27" s="89">
        <f t="shared" si="18"/>
        <v>53145.833333333336</v>
      </c>
      <c r="K27" s="89">
        <f t="shared" si="18"/>
        <v>53145.833333333336</v>
      </c>
      <c r="L27" s="89">
        <f t="shared" si="18"/>
        <v>53145.833333333336</v>
      </c>
      <c r="M27" s="89">
        <f t="shared" si="18"/>
        <v>53145.833333333336</v>
      </c>
      <c r="N27" s="89">
        <f t="shared" si="18"/>
        <v>53145.833333333336</v>
      </c>
      <c r="O27" s="89">
        <f t="shared" si="18"/>
        <v>53145.833333333336</v>
      </c>
      <c r="P27" s="89">
        <f t="shared" si="18"/>
        <v>53145.833333333336</v>
      </c>
      <c r="Q27" s="89">
        <f t="shared" si="18"/>
        <v>53145.833333333336</v>
      </c>
      <c r="R27" s="89">
        <f t="shared" si="18"/>
        <v>53145.833333333336</v>
      </c>
      <c r="S27" s="89">
        <f t="shared" si="18"/>
        <v>53145.833333333336</v>
      </c>
      <c r="T27" s="89">
        <f t="shared" si="18"/>
        <v>54990.208333333336</v>
      </c>
      <c r="U27" s="89">
        <f t="shared" si="18"/>
        <v>54990.208333333336</v>
      </c>
      <c r="V27" s="89">
        <f t="shared" si="18"/>
        <v>54990.208333333336</v>
      </c>
      <c r="W27" s="89">
        <f t="shared" si="18"/>
        <v>54990.208333333336</v>
      </c>
      <c r="X27" s="89">
        <f t="shared" si="18"/>
        <v>54990.208333333336</v>
      </c>
      <c r="Y27" s="89">
        <f t="shared" si="18"/>
        <v>54990.208333333336</v>
      </c>
      <c r="Z27" s="89">
        <f t="shared" si="18"/>
        <v>54990.208333333336</v>
      </c>
      <c r="AA27" s="89">
        <f t="shared" si="18"/>
        <v>54990.208333333336</v>
      </c>
      <c r="AB27" s="89">
        <f t="shared" si="18"/>
        <v>54990.208333333336</v>
      </c>
      <c r="AC27" s="89">
        <f t="shared" si="18"/>
        <v>54990.208333333336</v>
      </c>
      <c r="AD27" s="89">
        <f t="shared" si="18"/>
        <v>54990.208333333336</v>
      </c>
      <c r="AE27" s="89">
        <f t="shared" si="18"/>
        <v>54990.208333333336</v>
      </c>
      <c r="AF27" s="89">
        <f t="shared" si="18"/>
        <v>56903.914583333331</v>
      </c>
      <c r="AG27" s="89">
        <f t="shared" si="18"/>
        <v>56903.914583333331</v>
      </c>
      <c r="AH27" s="89">
        <f t="shared" si="18"/>
        <v>56903.914583333331</v>
      </c>
      <c r="AI27" s="89">
        <f t="shared" si="18"/>
        <v>56903.914583333331</v>
      </c>
      <c r="AJ27" s="89">
        <f t="shared" si="18"/>
        <v>56903.914583333331</v>
      </c>
      <c r="AK27" s="89">
        <f t="shared" si="18"/>
        <v>56903.914583333331</v>
      </c>
      <c r="AL27" s="89">
        <f t="shared" si="18"/>
        <v>56903.914583333331</v>
      </c>
      <c r="AM27" s="89">
        <f t="shared" si="18"/>
        <v>56903.914583333331</v>
      </c>
      <c r="AN27" s="89">
        <f t="shared" si="18"/>
        <v>56903.914583333331</v>
      </c>
      <c r="AO27" s="89">
        <f t="shared" si="18"/>
        <v>56903.914583333331</v>
      </c>
      <c r="AP27" s="89">
        <f t="shared" si="18"/>
        <v>56903.914583333331</v>
      </c>
      <c r="AQ27" s="89">
        <f t="shared" si="18"/>
        <v>56903.914583333331</v>
      </c>
      <c r="AR27" s="89">
        <f t="shared" si="18"/>
        <v>58889.762020833332</v>
      </c>
      <c r="AS27" s="89">
        <f t="shared" si="18"/>
        <v>58889.762020833332</v>
      </c>
      <c r="AT27" s="89">
        <f t="shared" si="18"/>
        <v>58889.762020833332</v>
      </c>
      <c r="AU27" s="89">
        <f t="shared" si="18"/>
        <v>58889.762020833332</v>
      </c>
      <c r="AV27" s="89">
        <f t="shared" si="18"/>
        <v>58889.762020833332</v>
      </c>
      <c r="AW27" s="89">
        <f t="shared" si="18"/>
        <v>58889.762020833332</v>
      </c>
      <c r="AX27" s="89">
        <f t="shared" si="18"/>
        <v>58889.762020833332</v>
      </c>
      <c r="AY27" s="89">
        <f t="shared" si="18"/>
        <v>58889.762020833332</v>
      </c>
      <c r="AZ27" s="89">
        <f t="shared" si="18"/>
        <v>58889.762020833332</v>
      </c>
      <c r="BA27" s="89">
        <f t="shared" si="18"/>
        <v>58889.762020833332</v>
      </c>
      <c r="BB27" s="89">
        <f t="shared" si="18"/>
        <v>58889.762020833332</v>
      </c>
      <c r="BC27" s="89">
        <f t="shared" si="18"/>
        <v>58889.762020833332</v>
      </c>
      <c r="BD27" s="89">
        <f t="shared" si="18"/>
        <v>60950.681981458336</v>
      </c>
      <c r="BE27" s="89">
        <f t="shared" si="18"/>
        <v>60950.681981458336</v>
      </c>
      <c r="BF27" s="89">
        <f t="shared" si="18"/>
        <v>60950.681981458336</v>
      </c>
      <c r="BG27" s="89">
        <f t="shared" si="18"/>
        <v>60950.681981458336</v>
      </c>
      <c r="BH27" s="89">
        <f t="shared" si="18"/>
        <v>60950.681981458336</v>
      </c>
      <c r="BI27" s="89">
        <f t="shared" si="18"/>
        <v>60950.681981458336</v>
      </c>
      <c r="BJ27" s="89">
        <f t="shared" si="18"/>
        <v>60950.681981458336</v>
      </c>
      <c r="BK27" s="89">
        <f t="shared" si="18"/>
        <v>60950.681981458336</v>
      </c>
      <c r="BL27" s="89">
        <f t="shared" si="18"/>
        <v>60950.681981458336</v>
      </c>
      <c r="BM27" s="89">
        <f t="shared" si="18"/>
        <v>60950.681981458336</v>
      </c>
      <c r="BN27" s="89">
        <f t="shared" si="18"/>
        <v>60950.681981458336</v>
      </c>
      <c r="BO27" s="89">
        <f t="shared" si="18"/>
        <v>60950.681981458336</v>
      </c>
      <c r="BP27" s="89">
        <f t="shared" si="18"/>
        <v>63089.732707902076</v>
      </c>
    </row>
    <row r="28" spans="1:68" x14ac:dyDescent="0.25">
      <c r="A28" s="1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</row>
    <row r="29" spans="1:68" ht="15.75" thickBot="1" x14ac:dyDescent="0.3">
      <c r="A29" s="1"/>
      <c r="B29" s="90">
        <v>2021</v>
      </c>
      <c r="C29" s="90">
        <v>2022</v>
      </c>
      <c r="D29" s="90">
        <v>2023</v>
      </c>
      <c r="E29" s="90">
        <v>2024</v>
      </c>
      <c r="F29" s="90">
        <v>2025</v>
      </c>
      <c r="G29" s="1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</row>
    <row r="30" spans="1:68" x14ac:dyDescent="0.25">
      <c r="A30" s="83" t="s">
        <v>105</v>
      </c>
      <c r="B30" s="89">
        <f>VLOOKUP(B29,'Case Study'!$A$59:$B$63,COLUMNS('Case Study'!A64:B64))*$E$3</f>
        <v>100000</v>
      </c>
      <c r="C30" s="89">
        <f>VLOOKUP(C29,'Case Study'!$A$59:$B$63,COLUMNS('Case Study'!B64:C64))*$E$3</f>
        <v>62500</v>
      </c>
      <c r="D30" s="89">
        <f>VLOOKUP(D29,'Case Study'!$A$59:$B$63,COLUMNS('Case Study'!C64:D64))*$E$3</f>
        <v>50000</v>
      </c>
      <c r="E30" s="89">
        <f>VLOOKUP(E29,'Case Study'!$A$59:$B$63,COLUMNS('Case Study'!D64:E64))*$E$3</f>
        <v>50000</v>
      </c>
      <c r="F30" s="89">
        <f>VLOOKUP(F29,'Case Study'!$A$59:$B$63,COLUMNS('Case Study'!E64:F64))*$E$3</f>
        <v>50000</v>
      </c>
      <c r="H30" s="89">
        <f>$B$30/$B$2</f>
        <v>8333.3333333333339</v>
      </c>
      <c r="I30" s="89">
        <f t="shared" ref="I30:S30" si="19">$B$30/$B$2</f>
        <v>8333.3333333333339</v>
      </c>
      <c r="J30" s="89">
        <f t="shared" si="19"/>
        <v>8333.3333333333339</v>
      </c>
      <c r="K30" s="89">
        <f t="shared" si="19"/>
        <v>8333.3333333333339</v>
      </c>
      <c r="L30" s="89">
        <f t="shared" si="19"/>
        <v>8333.3333333333339</v>
      </c>
      <c r="M30" s="89">
        <f t="shared" si="19"/>
        <v>8333.3333333333339</v>
      </c>
      <c r="N30" s="89">
        <f t="shared" si="19"/>
        <v>8333.3333333333339</v>
      </c>
      <c r="O30" s="89">
        <f t="shared" si="19"/>
        <v>8333.3333333333339</v>
      </c>
      <c r="P30" s="89">
        <f t="shared" si="19"/>
        <v>8333.3333333333339</v>
      </c>
      <c r="Q30" s="89">
        <f t="shared" si="19"/>
        <v>8333.3333333333339</v>
      </c>
      <c r="R30" s="89">
        <f t="shared" si="19"/>
        <v>8333.3333333333339</v>
      </c>
      <c r="S30" s="89">
        <f t="shared" si="19"/>
        <v>8333.3333333333339</v>
      </c>
      <c r="T30" s="89">
        <f>$C$30/$B$2</f>
        <v>5208.333333333333</v>
      </c>
      <c r="U30" s="89">
        <f t="shared" ref="U30:AE30" si="20">$C$30/$B$2</f>
        <v>5208.333333333333</v>
      </c>
      <c r="V30" s="89">
        <f t="shared" si="20"/>
        <v>5208.333333333333</v>
      </c>
      <c r="W30" s="89">
        <f t="shared" si="20"/>
        <v>5208.333333333333</v>
      </c>
      <c r="X30" s="89">
        <f t="shared" si="20"/>
        <v>5208.333333333333</v>
      </c>
      <c r="Y30" s="89">
        <f t="shared" si="20"/>
        <v>5208.333333333333</v>
      </c>
      <c r="Z30" s="89">
        <f t="shared" si="20"/>
        <v>5208.333333333333</v>
      </c>
      <c r="AA30" s="89">
        <f t="shared" si="20"/>
        <v>5208.333333333333</v>
      </c>
      <c r="AB30" s="89">
        <f t="shared" si="20"/>
        <v>5208.333333333333</v>
      </c>
      <c r="AC30" s="89">
        <f t="shared" si="20"/>
        <v>5208.333333333333</v>
      </c>
      <c r="AD30" s="89">
        <f t="shared" si="20"/>
        <v>5208.333333333333</v>
      </c>
      <c r="AE30" s="89">
        <f t="shared" si="20"/>
        <v>5208.333333333333</v>
      </c>
      <c r="AF30" s="89">
        <f>$D$30/$B$2</f>
        <v>4166.666666666667</v>
      </c>
      <c r="AG30" s="89">
        <f t="shared" ref="AG30:AQ30" si="21">$D$30/$B$2</f>
        <v>4166.666666666667</v>
      </c>
      <c r="AH30" s="89">
        <f t="shared" si="21"/>
        <v>4166.666666666667</v>
      </c>
      <c r="AI30" s="89">
        <f t="shared" si="21"/>
        <v>4166.666666666667</v>
      </c>
      <c r="AJ30" s="89">
        <f t="shared" si="21"/>
        <v>4166.666666666667</v>
      </c>
      <c r="AK30" s="89">
        <f t="shared" si="21"/>
        <v>4166.666666666667</v>
      </c>
      <c r="AL30" s="89">
        <f t="shared" si="21"/>
        <v>4166.666666666667</v>
      </c>
      <c r="AM30" s="89">
        <f t="shared" si="21"/>
        <v>4166.666666666667</v>
      </c>
      <c r="AN30" s="89">
        <f t="shared" si="21"/>
        <v>4166.666666666667</v>
      </c>
      <c r="AO30" s="89">
        <f t="shared" si="21"/>
        <v>4166.666666666667</v>
      </c>
      <c r="AP30" s="89">
        <f t="shared" si="21"/>
        <v>4166.666666666667</v>
      </c>
      <c r="AQ30" s="89">
        <f t="shared" si="21"/>
        <v>4166.666666666667</v>
      </c>
      <c r="AR30" s="89">
        <f>$E$30/$B$2</f>
        <v>4166.666666666667</v>
      </c>
      <c r="AS30" s="89">
        <f t="shared" ref="AS30:BC30" si="22">$E$30/$B$2</f>
        <v>4166.666666666667</v>
      </c>
      <c r="AT30" s="89">
        <f t="shared" si="22"/>
        <v>4166.666666666667</v>
      </c>
      <c r="AU30" s="89">
        <f t="shared" si="22"/>
        <v>4166.666666666667</v>
      </c>
      <c r="AV30" s="89">
        <f t="shared" si="22"/>
        <v>4166.666666666667</v>
      </c>
      <c r="AW30" s="89">
        <f t="shared" si="22"/>
        <v>4166.666666666667</v>
      </c>
      <c r="AX30" s="89">
        <f t="shared" si="22"/>
        <v>4166.666666666667</v>
      </c>
      <c r="AY30" s="89">
        <f t="shared" si="22"/>
        <v>4166.666666666667</v>
      </c>
      <c r="AZ30" s="89">
        <f t="shared" si="22"/>
        <v>4166.666666666667</v>
      </c>
      <c r="BA30" s="89">
        <f t="shared" si="22"/>
        <v>4166.666666666667</v>
      </c>
      <c r="BB30" s="89">
        <f t="shared" si="22"/>
        <v>4166.666666666667</v>
      </c>
      <c r="BC30" s="89">
        <f t="shared" si="22"/>
        <v>4166.666666666667</v>
      </c>
      <c r="BD30" s="89">
        <f>$F$30/$B$2</f>
        <v>4166.666666666667</v>
      </c>
      <c r="BE30" s="89">
        <f t="shared" ref="BE30:BP30" si="23">$F$30/$B$2</f>
        <v>4166.666666666667</v>
      </c>
      <c r="BF30" s="89">
        <f t="shared" si="23"/>
        <v>4166.666666666667</v>
      </c>
      <c r="BG30" s="89">
        <f t="shared" si="23"/>
        <v>4166.666666666667</v>
      </c>
      <c r="BH30" s="89">
        <f t="shared" si="23"/>
        <v>4166.666666666667</v>
      </c>
      <c r="BI30" s="89">
        <f t="shared" si="23"/>
        <v>4166.666666666667</v>
      </c>
      <c r="BJ30" s="89">
        <f t="shared" si="23"/>
        <v>4166.666666666667</v>
      </c>
      <c r="BK30" s="89">
        <f t="shared" si="23"/>
        <v>4166.666666666667</v>
      </c>
      <c r="BL30" s="89">
        <f t="shared" si="23"/>
        <v>4166.666666666667</v>
      </c>
      <c r="BM30" s="89">
        <f t="shared" si="23"/>
        <v>4166.666666666667</v>
      </c>
      <c r="BN30" s="89">
        <f t="shared" si="23"/>
        <v>4166.666666666667</v>
      </c>
      <c r="BO30" s="89">
        <f t="shared" si="23"/>
        <v>4166.666666666667</v>
      </c>
      <c r="BP30" s="89">
        <f t="shared" si="23"/>
        <v>4166.666666666667</v>
      </c>
    </row>
    <row r="31" spans="1:68" x14ac:dyDescent="0.25">
      <c r="A31" s="1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</row>
    <row r="32" spans="1:68" x14ac:dyDescent="0.25">
      <c r="A32" s="83" t="s">
        <v>84</v>
      </c>
      <c r="H32" s="89">
        <f>H27-H30</f>
        <v>44812.5</v>
      </c>
      <c r="I32" s="89">
        <f t="shared" ref="I32:BP32" si="24">I27-I30</f>
        <v>44812.5</v>
      </c>
      <c r="J32" s="89">
        <f t="shared" si="24"/>
        <v>44812.5</v>
      </c>
      <c r="K32" s="89">
        <f t="shared" si="24"/>
        <v>44812.5</v>
      </c>
      <c r="L32" s="89">
        <f t="shared" si="24"/>
        <v>44812.5</v>
      </c>
      <c r="M32" s="89">
        <f t="shared" si="24"/>
        <v>44812.5</v>
      </c>
      <c r="N32" s="89">
        <f t="shared" si="24"/>
        <v>44812.5</v>
      </c>
      <c r="O32" s="89">
        <f t="shared" si="24"/>
        <v>44812.5</v>
      </c>
      <c r="P32" s="89">
        <f t="shared" si="24"/>
        <v>44812.5</v>
      </c>
      <c r="Q32" s="89">
        <f t="shared" si="24"/>
        <v>44812.5</v>
      </c>
      <c r="R32" s="89">
        <f t="shared" si="24"/>
        <v>44812.5</v>
      </c>
      <c r="S32" s="89">
        <f t="shared" si="24"/>
        <v>44812.5</v>
      </c>
      <c r="T32" s="89">
        <f t="shared" si="24"/>
        <v>49781.875</v>
      </c>
      <c r="U32" s="89">
        <f t="shared" si="24"/>
        <v>49781.875</v>
      </c>
      <c r="V32" s="89">
        <f t="shared" si="24"/>
        <v>49781.875</v>
      </c>
      <c r="W32" s="89">
        <f t="shared" si="24"/>
        <v>49781.875</v>
      </c>
      <c r="X32" s="89">
        <f t="shared" si="24"/>
        <v>49781.875</v>
      </c>
      <c r="Y32" s="89">
        <f t="shared" si="24"/>
        <v>49781.875</v>
      </c>
      <c r="Z32" s="89">
        <f t="shared" si="24"/>
        <v>49781.875</v>
      </c>
      <c r="AA32" s="89">
        <f t="shared" si="24"/>
        <v>49781.875</v>
      </c>
      <c r="AB32" s="89">
        <f t="shared" si="24"/>
        <v>49781.875</v>
      </c>
      <c r="AC32" s="89">
        <f t="shared" si="24"/>
        <v>49781.875</v>
      </c>
      <c r="AD32" s="89">
        <f t="shared" si="24"/>
        <v>49781.875</v>
      </c>
      <c r="AE32" s="89">
        <f t="shared" si="24"/>
        <v>49781.875</v>
      </c>
      <c r="AF32" s="89">
        <f t="shared" si="24"/>
        <v>52737.247916666667</v>
      </c>
      <c r="AG32" s="89">
        <f t="shared" si="24"/>
        <v>52737.247916666667</v>
      </c>
      <c r="AH32" s="89">
        <f t="shared" si="24"/>
        <v>52737.247916666667</v>
      </c>
      <c r="AI32" s="89">
        <f t="shared" si="24"/>
        <v>52737.247916666667</v>
      </c>
      <c r="AJ32" s="89">
        <f t="shared" si="24"/>
        <v>52737.247916666667</v>
      </c>
      <c r="AK32" s="89">
        <f t="shared" si="24"/>
        <v>52737.247916666667</v>
      </c>
      <c r="AL32" s="89">
        <f t="shared" si="24"/>
        <v>52737.247916666667</v>
      </c>
      <c r="AM32" s="89">
        <f t="shared" si="24"/>
        <v>52737.247916666667</v>
      </c>
      <c r="AN32" s="89">
        <f t="shared" si="24"/>
        <v>52737.247916666667</v>
      </c>
      <c r="AO32" s="89">
        <f t="shared" si="24"/>
        <v>52737.247916666667</v>
      </c>
      <c r="AP32" s="89">
        <f t="shared" si="24"/>
        <v>52737.247916666667</v>
      </c>
      <c r="AQ32" s="89">
        <f t="shared" si="24"/>
        <v>52737.247916666667</v>
      </c>
      <c r="AR32" s="89">
        <f t="shared" si="24"/>
        <v>54723.095354166668</v>
      </c>
      <c r="AS32" s="89">
        <f t="shared" si="24"/>
        <v>54723.095354166668</v>
      </c>
      <c r="AT32" s="89">
        <f t="shared" si="24"/>
        <v>54723.095354166668</v>
      </c>
      <c r="AU32" s="89">
        <f t="shared" si="24"/>
        <v>54723.095354166668</v>
      </c>
      <c r="AV32" s="89">
        <f t="shared" si="24"/>
        <v>54723.095354166668</v>
      </c>
      <c r="AW32" s="89">
        <f t="shared" si="24"/>
        <v>54723.095354166668</v>
      </c>
      <c r="AX32" s="89">
        <f t="shared" si="24"/>
        <v>54723.095354166668</v>
      </c>
      <c r="AY32" s="89">
        <f t="shared" si="24"/>
        <v>54723.095354166668</v>
      </c>
      <c r="AZ32" s="89">
        <f t="shared" si="24"/>
        <v>54723.095354166668</v>
      </c>
      <c r="BA32" s="89">
        <f t="shared" si="24"/>
        <v>54723.095354166668</v>
      </c>
      <c r="BB32" s="89">
        <f t="shared" si="24"/>
        <v>54723.095354166668</v>
      </c>
      <c r="BC32" s="89">
        <f t="shared" si="24"/>
        <v>54723.095354166668</v>
      </c>
      <c r="BD32" s="89">
        <f t="shared" si="24"/>
        <v>56784.015314791672</v>
      </c>
      <c r="BE32" s="89">
        <f t="shared" si="24"/>
        <v>56784.015314791672</v>
      </c>
      <c r="BF32" s="89">
        <f t="shared" si="24"/>
        <v>56784.015314791672</v>
      </c>
      <c r="BG32" s="89">
        <f t="shared" si="24"/>
        <v>56784.015314791672</v>
      </c>
      <c r="BH32" s="89">
        <f t="shared" si="24"/>
        <v>56784.015314791672</v>
      </c>
      <c r="BI32" s="89">
        <f t="shared" si="24"/>
        <v>56784.015314791672</v>
      </c>
      <c r="BJ32" s="89">
        <f t="shared" si="24"/>
        <v>56784.015314791672</v>
      </c>
      <c r="BK32" s="89">
        <f t="shared" si="24"/>
        <v>56784.015314791672</v>
      </c>
      <c r="BL32" s="89">
        <f t="shared" si="24"/>
        <v>56784.015314791672</v>
      </c>
      <c r="BM32" s="89">
        <f t="shared" si="24"/>
        <v>56784.015314791672</v>
      </c>
      <c r="BN32" s="89">
        <f t="shared" si="24"/>
        <v>56784.015314791672</v>
      </c>
      <c r="BO32" s="89">
        <f t="shared" si="24"/>
        <v>56784.015314791672</v>
      </c>
      <c r="BP32" s="89">
        <f t="shared" si="24"/>
        <v>58923.066041235412</v>
      </c>
    </row>
    <row r="33" spans="1:68" x14ac:dyDescent="0.25">
      <c r="A33" s="1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</row>
    <row r="34" spans="1:68" x14ac:dyDescent="0.25">
      <c r="A34" s="83" t="s">
        <v>109</v>
      </c>
      <c r="H34" s="89"/>
      <c r="I34" s="89">
        <f>'Amortization of Loan'!I7</f>
        <v>19793.881511166648</v>
      </c>
      <c r="J34" s="89">
        <f>'Amortization of Loan'!$I$7</f>
        <v>19793.881511166648</v>
      </c>
      <c r="K34" s="89">
        <f>'Amortization of Loan'!$I$7</f>
        <v>19793.881511166648</v>
      </c>
      <c r="L34" s="89">
        <f>'Amortization of Loan'!$I$7</f>
        <v>19793.881511166648</v>
      </c>
      <c r="M34" s="89">
        <f>'Amortization of Loan'!$I$7</f>
        <v>19793.881511166648</v>
      </c>
      <c r="N34" s="89">
        <f>'Amortization of Loan'!$I$7</f>
        <v>19793.881511166648</v>
      </c>
      <c r="O34" s="89">
        <f>'Amortization of Loan'!$I$7</f>
        <v>19793.881511166648</v>
      </c>
      <c r="P34" s="89">
        <f>'Amortization of Loan'!$I$7</f>
        <v>19793.881511166648</v>
      </c>
      <c r="Q34" s="89">
        <f>'Amortization of Loan'!$I$7</f>
        <v>19793.881511166648</v>
      </c>
      <c r="R34" s="89">
        <f>'Amortization of Loan'!$I$7</f>
        <v>19793.881511166648</v>
      </c>
      <c r="S34" s="89">
        <f>'Amortization of Loan'!$I$7</f>
        <v>19793.881511166648</v>
      </c>
      <c r="T34" s="89">
        <f>'Amortization of Loan'!$I$7</f>
        <v>19793.881511166648</v>
      </c>
      <c r="U34" s="89">
        <f>'Amortization of Loan'!$I$7</f>
        <v>19793.881511166648</v>
      </c>
      <c r="V34" s="89">
        <f>'Amortization of Loan'!$I$7</f>
        <v>19793.881511166648</v>
      </c>
      <c r="W34" s="89">
        <f>'Amortization of Loan'!$I$7</f>
        <v>19793.881511166648</v>
      </c>
      <c r="X34" s="89">
        <f>'Amortization of Loan'!$I$7</f>
        <v>19793.881511166648</v>
      </c>
      <c r="Y34" s="89">
        <f>'Amortization of Loan'!$I$7</f>
        <v>19793.881511166648</v>
      </c>
      <c r="Z34" s="89">
        <f>'Amortization of Loan'!$I$7</f>
        <v>19793.881511166648</v>
      </c>
      <c r="AA34" s="89">
        <f>'Amortization of Loan'!$I$7</f>
        <v>19793.881511166648</v>
      </c>
      <c r="AB34" s="89">
        <f>'Amortization of Loan'!$I$7</f>
        <v>19793.881511166648</v>
      </c>
      <c r="AC34" s="89">
        <f>'Amortization of Loan'!$I$7</f>
        <v>19793.881511166648</v>
      </c>
      <c r="AD34" s="89">
        <f>'Amortization of Loan'!$I$7</f>
        <v>19793.881511166648</v>
      </c>
      <c r="AE34" s="89">
        <f>'Amortization of Loan'!$I$7</f>
        <v>19793.881511166648</v>
      </c>
      <c r="AF34" s="89">
        <f>'Amortization of Loan'!$I$7</f>
        <v>19793.881511166648</v>
      </c>
      <c r="AG34" s="89">
        <f>'Amortization of Loan'!$I$7</f>
        <v>19793.881511166648</v>
      </c>
      <c r="AH34" s="89">
        <f>'Amortization of Loan'!$I$7</f>
        <v>19793.881511166648</v>
      </c>
      <c r="AI34" s="89">
        <f>'Amortization of Loan'!$I$7</f>
        <v>19793.881511166648</v>
      </c>
      <c r="AJ34" s="89">
        <f>'Amortization of Loan'!$I$7</f>
        <v>19793.881511166648</v>
      </c>
      <c r="AK34" s="89">
        <f>'Amortization of Loan'!$I$7</f>
        <v>19793.881511166648</v>
      </c>
      <c r="AL34" s="89">
        <f>'Amortization of Loan'!$I$7</f>
        <v>19793.881511166648</v>
      </c>
      <c r="AM34" s="89">
        <f>'Amortization of Loan'!$I$7</f>
        <v>19793.881511166648</v>
      </c>
      <c r="AN34" s="89">
        <f>'Amortization of Loan'!$I$7</f>
        <v>19793.881511166648</v>
      </c>
      <c r="AO34" s="89">
        <f>'Amortization of Loan'!$I$7</f>
        <v>19793.881511166648</v>
      </c>
      <c r="AP34" s="89">
        <f>'Amortization of Loan'!$I$7</f>
        <v>19793.881511166648</v>
      </c>
      <c r="AQ34" s="89">
        <f>'Amortization of Loan'!$I$7</f>
        <v>19793.881511166648</v>
      </c>
      <c r="AR34" s="89">
        <f>'Amortization of Loan'!$I$7</f>
        <v>19793.881511166648</v>
      </c>
      <c r="AS34" s="89">
        <f>'Amortization of Loan'!$I$7</f>
        <v>19793.881511166648</v>
      </c>
      <c r="AT34" s="89">
        <f>'Amortization of Loan'!$I$7</f>
        <v>19793.881511166648</v>
      </c>
      <c r="AU34" s="89">
        <f>'Amortization of Loan'!$I$7</f>
        <v>19793.881511166648</v>
      </c>
      <c r="AV34" s="89">
        <f>'Amortization of Loan'!$I$7</f>
        <v>19793.881511166648</v>
      </c>
      <c r="AW34" s="89">
        <f>'Amortization of Loan'!$I$7</f>
        <v>19793.881511166648</v>
      </c>
      <c r="AX34" s="89">
        <f>'Amortization of Loan'!$I$7</f>
        <v>19793.881511166648</v>
      </c>
      <c r="AY34" s="89">
        <f>'Amortization of Loan'!$I$7</f>
        <v>19793.881511166648</v>
      </c>
      <c r="AZ34" s="89">
        <f>'Amortization of Loan'!$I$7</f>
        <v>19793.881511166648</v>
      </c>
      <c r="BA34" s="89">
        <f>'Amortization of Loan'!$I$7</f>
        <v>19793.881511166648</v>
      </c>
      <c r="BB34" s="89">
        <f>'Amortization of Loan'!$I$7</f>
        <v>19793.881511166648</v>
      </c>
      <c r="BC34" s="89">
        <f>'Amortization of Loan'!$I$7</f>
        <v>19793.881511166648</v>
      </c>
      <c r="BD34" s="89">
        <f>'Amortization of Loan'!$I$7</f>
        <v>19793.881511166648</v>
      </c>
      <c r="BE34" s="89">
        <f>'Amortization of Loan'!$I$7</f>
        <v>19793.881511166648</v>
      </c>
      <c r="BF34" s="89">
        <f>'Amortization of Loan'!$I$7</f>
        <v>19793.881511166648</v>
      </c>
      <c r="BG34" s="89">
        <f>'Amortization of Loan'!$I$7</f>
        <v>19793.881511166648</v>
      </c>
      <c r="BH34" s="89">
        <f>'Amortization of Loan'!$I$7</f>
        <v>19793.881511166648</v>
      </c>
      <c r="BI34" s="89">
        <f>'Amortization of Loan'!$I$7</f>
        <v>19793.881511166648</v>
      </c>
      <c r="BJ34" s="89">
        <f>'Amortization of Loan'!$I$7</f>
        <v>19793.881511166648</v>
      </c>
      <c r="BK34" s="89">
        <f>'Amortization of Loan'!$I$7</f>
        <v>19793.881511166648</v>
      </c>
      <c r="BL34" s="89">
        <f>'Amortization of Loan'!$I$7</f>
        <v>19793.881511166648</v>
      </c>
      <c r="BM34" s="89">
        <f>'Amortization of Loan'!$I$7</f>
        <v>19793.881511166648</v>
      </c>
      <c r="BN34" s="89">
        <f>'Amortization of Loan'!$I$7</f>
        <v>19793.881511166648</v>
      </c>
      <c r="BO34" s="89">
        <f>'Amortization of Loan'!$I$7</f>
        <v>19793.881511166648</v>
      </c>
      <c r="BP34" s="89">
        <f>'Amortization of Loan'!$I$7</f>
        <v>19793.881511166648</v>
      </c>
    </row>
    <row r="35" spans="1:68" x14ac:dyDescent="0.25">
      <c r="A35" s="1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</row>
    <row r="36" spans="1:68" x14ac:dyDescent="0.25">
      <c r="A36" s="83" t="s">
        <v>85</v>
      </c>
      <c r="H36" s="89">
        <f>H32-H34</f>
        <v>44812.5</v>
      </c>
      <c r="I36" s="89">
        <f t="shared" ref="I36:BP36" si="25">I32-I34</f>
        <v>25018.618488833352</v>
      </c>
      <c r="J36" s="89">
        <f t="shared" si="25"/>
        <v>25018.618488833352</v>
      </c>
      <c r="K36" s="89">
        <f t="shared" si="25"/>
        <v>25018.618488833352</v>
      </c>
      <c r="L36" s="89">
        <f t="shared" si="25"/>
        <v>25018.618488833352</v>
      </c>
      <c r="M36" s="89">
        <f t="shared" si="25"/>
        <v>25018.618488833352</v>
      </c>
      <c r="N36" s="89">
        <f t="shared" si="25"/>
        <v>25018.618488833352</v>
      </c>
      <c r="O36" s="89">
        <f t="shared" si="25"/>
        <v>25018.618488833352</v>
      </c>
      <c r="P36" s="89">
        <f t="shared" si="25"/>
        <v>25018.618488833352</v>
      </c>
      <c r="Q36" s="89">
        <f t="shared" si="25"/>
        <v>25018.618488833352</v>
      </c>
      <c r="R36" s="89">
        <f t="shared" si="25"/>
        <v>25018.618488833352</v>
      </c>
      <c r="S36" s="89">
        <f t="shared" si="25"/>
        <v>25018.618488833352</v>
      </c>
      <c r="T36" s="89">
        <f t="shared" si="25"/>
        <v>29987.993488833352</v>
      </c>
      <c r="U36" s="89">
        <f t="shared" si="25"/>
        <v>29987.993488833352</v>
      </c>
      <c r="V36" s="89">
        <f t="shared" si="25"/>
        <v>29987.993488833352</v>
      </c>
      <c r="W36" s="89">
        <f t="shared" si="25"/>
        <v>29987.993488833352</v>
      </c>
      <c r="X36" s="89">
        <f t="shared" si="25"/>
        <v>29987.993488833352</v>
      </c>
      <c r="Y36" s="89">
        <f t="shared" si="25"/>
        <v>29987.993488833352</v>
      </c>
      <c r="Z36" s="89">
        <f t="shared" si="25"/>
        <v>29987.993488833352</v>
      </c>
      <c r="AA36" s="89">
        <f t="shared" si="25"/>
        <v>29987.993488833352</v>
      </c>
      <c r="AB36" s="89">
        <f t="shared" si="25"/>
        <v>29987.993488833352</v>
      </c>
      <c r="AC36" s="89">
        <f t="shared" si="25"/>
        <v>29987.993488833352</v>
      </c>
      <c r="AD36" s="89">
        <f t="shared" si="25"/>
        <v>29987.993488833352</v>
      </c>
      <c r="AE36" s="89">
        <f t="shared" si="25"/>
        <v>29987.993488833352</v>
      </c>
      <c r="AF36" s="89">
        <f t="shared" si="25"/>
        <v>32943.366405500019</v>
      </c>
      <c r="AG36" s="89">
        <f t="shared" si="25"/>
        <v>32943.366405500019</v>
      </c>
      <c r="AH36" s="89">
        <f t="shared" si="25"/>
        <v>32943.366405500019</v>
      </c>
      <c r="AI36" s="89">
        <f t="shared" si="25"/>
        <v>32943.366405500019</v>
      </c>
      <c r="AJ36" s="89">
        <f t="shared" si="25"/>
        <v>32943.366405500019</v>
      </c>
      <c r="AK36" s="89">
        <f t="shared" si="25"/>
        <v>32943.366405500019</v>
      </c>
      <c r="AL36" s="89">
        <f t="shared" si="25"/>
        <v>32943.366405500019</v>
      </c>
      <c r="AM36" s="89">
        <f t="shared" si="25"/>
        <v>32943.366405500019</v>
      </c>
      <c r="AN36" s="89">
        <f t="shared" si="25"/>
        <v>32943.366405500019</v>
      </c>
      <c r="AO36" s="89">
        <f t="shared" si="25"/>
        <v>32943.366405500019</v>
      </c>
      <c r="AP36" s="89">
        <f t="shared" si="25"/>
        <v>32943.366405500019</v>
      </c>
      <c r="AQ36" s="89">
        <f t="shared" si="25"/>
        <v>32943.366405500019</v>
      </c>
      <c r="AR36" s="89">
        <f t="shared" si="25"/>
        <v>34929.21384300002</v>
      </c>
      <c r="AS36" s="89">
        <f t="shared" si="25"/>
        <v>34929.21384300002</v>
      </c>
      <c r="AT36" s="89">
        <f t="shared" si="25"/>
        <v>34929.21384300002</v>
      </c>
      <c r="AU36" s="89">
        <f t="shared" si="25"/>
        <v>34929.21384300002</v>
      </c>
      <c r="AV36" s="89">
        <f t="shared" si="25"/>
        <v>34929.21384300002</v>
      </c>
      <c r="AW36" s="89">
        <f t="shared" si="25"/>
        <v>34929.21384300002</v>
      </c>
      <c r="AX36" s="89">
        <f t="shared" si="25"/>
        <v>34929.21384300002</v>
      </c>
      <c r="AY36" s="89">
        <f t="shared" si="25"/>
        <v>34929.21384300002</v>
      </c>
      <c r="AZ36" s="89">
        <f t="shared" si="25"/>
        <v>34929.21384300002</v>
      </c>
      <c r="BA36" s="89">
        <f t="shared" si="25"/>
        <v>34929.21384300002</v>
      </c>
      <c r="BB36" s="89">
        <f t="shared" si="25"/>
        <v>34929.21384300002</v>
      </c>
      <c r="BC36" s="89">
        <f t="shared" si="25"/>
        <v>34929.21384300002</v>
      </c>
      <c r="BD36" s="89">
        <f t="shared" si="25"/>
        <v>36990.133803625024</v>
      </c>
      <c r="BE36" s="89">
        <f t="shared" si="25"/>
        <v>36990.133803625024</v>
      </c>
      <c r="BF36" s="89">
        <f t="shared" si="25"/>
        <v>36990.133803625024</v>
      </c>
      <c r="BG36" s="89">
        <f t="shared" si="25"/>
        <v>36990.133803625024</v>
      </c>
      <c r="BH36" s="89">
        <f t="shared" si="25"/>
        <v>36990.133803625024</v>
      </c>
      <c r="BI36" s="89">
        <f t="shared" si="25"/>
        <v>36990.133803625024</v>
      </c>
      <c r="BJ36" s="89">
        <f t="shared" si="25"/>
        <v>36990.133803625024</v>
      </c>
      <c r="BK36" s="89">
        <f t="shared" si="25"/>
        <v>36990.133803625024</v>
      </c>
      <c r="BL36" s="89">
        <f t="shared" si="25"/>
        <v>36990.133803625024</v>
      </c>
      <c r="BM36" s="89">
        <f t="shared" si="25"/>
        <v>36990.133803625024</v>
      </c>
      <c r="BN36" s="89">
        <f t="shared" si="25"/>
        <v>36990.133803625024</v>
      </c>
      <c r="BO36" s="89">
        <f t="shared" si="25"/>
        <v>36990.133803625024</v>
      </c>
      <c r="BP36" s="89">
        <f t="shared" si="25"/>
        <v>39129.184530068764</v>
      </c>
    </row>
    <row r="38" spans="1:68" x14ac:dyDescent="0.25">
      <c r="A38" s="1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096E-34ED-4C61-B532-DCA51F876C5E}">
  <dimension ref="A2:I25"/>
  <sheetViews>
    <sheetView showGridLines="0" workbookViewId="0">
      <selection activeCell="J8" sqref="J8:O8"/>
    </sheetView>
  </sheetViews>
  <sheetFormatPr defaultRowHeight="15" x14ac:dyDescent="0.25"/>
  <cols>
    <col min="3" max="3" width="13.42578125" customWidth="1"/>
    <col min="4" max="4" width="14.28515625" bestFit="1" customWidth="1"/>
    <col min="5" max="7" width="9.42578125" bestFit="1" customWidth="1"/>
    <col min="8" max="8" width="11.42578125" bestFit="1" customWidth="1"/>
  </cols>
  <sheetData>
    <row r="2" spans="1:9" x14ac:dyDescent="0.25">
      <c r="A2" t="s">
        <v>86</v>
      </c>
    </row>
    <row r="3" spans="1:9" ht="15.75" thickBot="1" x14ac:dyDescent="0.3">
      <c r="D3" s="81">
        <v>1</v>
      </c>
      <c r="E3" s="81">
        <v>2</v>
      </c>
      <c r="F3" s="81">
        <v>3</v>
      </c>
      <c r="G3" s="81">
        <v>4</v>
      </c>
      <c r="H3" s="81">
        <v>5</v>
      </c>
    </row>
    <row r="4" spans="1:9" x14ac:dyDescent="0.25">
      <c r="D4" s="39"/>
      <c r="E4" s="39"/>
      <c r="F4" s="39"/>
      <c r="G4" s="39"/>
      <c r="H4" s="39"/>
    </row>
    <row r="5" spans="1:9" x14ac:dyDescent="0.25">
      <c r="B5" s="1" t="s">
        <v>82</v>
      </c>
      <c r="D5" s="89">
        <f>SUM('Monthly Cashflow'!H7:H20)*12</f>
        <v>702750.00000000012</v>
      </c>
      <c r="E5" s="89">
        <f>SUM('Monthly Cashflow'!T8:AE20)</f>
        <v>726182.50000000012</v>
      </c>
      <c r="F5" s="89">
        <f>SUM('Monthly Cashflow'!AF8:AQ21)</f>
        <v>750472.97500000009</v>
      </c>
      <c r="G5" s="89">
        <f>SUM('Monthly Cashflow'!AR8:AR20)*12</f>
        <v>775655.66424999991</v>
      </c>
      <c r="H5" s="89">
        <f>SUM('Monthly Cashflow'!BD8:BD21)*12</f>
        <v>801766.27417750005</v>
      </c>
      <c r="I5" s="89"/>
    </row>
    <row r="6" spans="1:9" x14ac:dyDescent="0.25">
      <c r="B6" s="1"/>
      <c r="D6" s="89"/>
      <c r="E6" s="89"/>
      <c r="F6" s="89"/>
      <c r="G6" s="89"/>
      <c r="H6" s="89"/>
      <c r="I6" s="89"/>
    </row>
    <row r="7" spans="1:9" x14ac:dyDescent="0.25">
      <c r="B7" s="1" t="s">
        <v>104</v>
      </c>
      <c r="D7" s="89">
        <f>SUM('Monthly Cashflow'!H24:H25)*12</f>
        <v>65000</v>
      </c>
      <c r="E7" s="89">
        <f>SUM('Monthly Cashflow'!T24:T25)*12</f>
        <v>66300</v>
      </c>
      <c r="F7" s="89">
        <f>SUM('Monthly Cashflow'!AF24:AF25)*12</f>
        <v>67626</v>
      </c>
      <c r="G7" s="89">
        <f>SUM('Monthly Cashflow'!AR24:AR25)*12</f>
        <v>68978.52</v>
      </c>
      <c r="H7" s="89">
        <f>SUM('Monthly Cashflow'!BD24:BD25)*12</f>
        <v>70358.090399999986</v>
      </c>
      <c r="I7" s="89"/>
    </row>
    <row r="8" spans="1:9" x14ac:dyDescent="0.25">
      <c r="B8" s="1"/>
      <c r="D8" s="89"/>
      <c r="E8" s="89"/>
      <c r="F8" s="89"/>
      <c r="G8" s="89"/>
      <c r="H8" s="89"/>
      <c r="I8" s="89"/>
    </row>
    <row r="9" spans="1:9" x14ac:dyDescent="0.25">
      <c r="B9" s="1" t="s">
        <v>83</v>
      </c>
      <c r="D9" s="89">
        <f>D5-D7</f>
        <v>637750.00000000012</v>
      </c>
      <c r="E9" s="89">
        <f t="shared" ref="E9:H9" si="0">E5-E7</f>
        <v>659882.50000000012</v>
      </c>
      <c r="F9" s="89">
        <f t="shared" si="0"/>
        <v>682846.97500000009</v>
      </c>
      <c r="G9" s="89">
        <f t="shared" si="0"/>
        <v>706677.1442499999</v>
      </c>
      <c r="H9" s="89">
        <f t="shared" si="0"/>
        <v>731408.18377750006</v>
      </c>
      <c r="I9" s="89"/>
    </row>
    <row r="10" spans="1:9" x14ac:dyDescent="0.25">
      <c r="D10" s="89"/>
      <c r="E10" s="89"/>
      <c r="F10" s="89"/>
      <c r="G10" s="89"/>
      <c r="H10" s="89"/>
      <c r="I10" s="89"/>
    </row>
    <row r="11" spans="1:9" x14ac:dyDescent="0.25">
      <c r="B11" s="1" t="s">
        <v>105</v>
      </c>
      <c r="D11" s="89">
        <f>'Monthly Cashflow'!B30</f>
        <v>100000</v>
      </c>
      <c r="E11" s="89">
        <f>'Monthly Cashflow'!C30</f>
        <v>62500</v>
      </c>
      <c r="F11" s="89">
        <f>'Monthly Cashflow'!D30</f>
        <v>50000</v>
      </c>
      <c r="G11" s="89">
        <f>'Monthly Cashflow'!E30</f>
        <v>50000</v>
      </c>
      <c r="H11" s="89">
        <f>'Monthly Cashflow'!F30</f>
        <v>50000</v>
      </c>
      <c r="I11" s="89"/>
    </row>
    <row r="12" spans="1:9" x14ac:dyDescent="0.25">
      <c r="D12" s="89"/>
      <c r="E12" s="89"/>
      <c r="F12" s="89"/>
      <c r="G12" s="89"/>
      <c r="H12" s="89"/>
      <c r="I12" s="89"/>
    </row>
    <row r="13" spans="1:9" x14ac:dyDescent="0.25">
      <c r="B13" s="1" t="s">
        <v>84</v>
      </c>
      <c r="D13" s="89">
        <f>D9-D11</f>
        <v>537750.00000000012</v>
      </c>
      <c r="E13" s="89">
        <f t="shared" ref="E13:H13" si="1">E9-E11</f>
        <v>597382.50000000012</v>
      </c>
      <c r="F13" s="89">
        <f t="shared" si="1"/>
        <v>632846.97500000009</v>
      </c>
      <c r="G13" s="89">
        <f t="shared" si="1"/>
        <v>656677.1442499999</v>
      </c>
      <c r="H13" s="89">
        <f t="shared" si="1"/>
        <v>681408.18377750006</v>
      </c>
      <c r="I13" s="89"/>
    </row>
    <row r="14" spans="1:9" x14ac:dyDescent="0.25">
      <c r="D14" s="89"/>
      <c r="E14" s="89"/>
      <c r="F14" s="89"/>
      <c r="G14" s="89"/>
      <c r="H14" s="89"/>
      <c r="I14" s="89"/>
    </row>
    <row r="15" spans="1:9" x14ac:dyDescent="0.25">
      <c r="B15" s="1" t="s">
        <v>109</v>
      </c>
      <c r="D15" s="89">
        <f>'Amortization of Loan'!$I$7*12</f>
        <v>237526.57813399978</v>
      </c>
      <c r="E15" s="89">
        <f>'Amortization of Loan'!$I$7*12</f>
        <v>237526.57813399978</v>
      </c>
      <c r="F15" s="89">
        <f>'Amortization of Loan'!$I$7*12</f>
        <v>237526.57813399978</v>
      </c>
      <c r="G15" s="89">
        <f>'Amortization of Loan'!$I$7*12</f>
        <v>237526.57813399978</v>
      </c>
      <c r="H15" s="89">
        <f>'Amortization of Loan'!$I$7*12</f>
        <v>237526.57813399978</v>
      </c>
      <c r="I15" s="89"/>
    </row>
    <row r="16" spans="1:9" x14ac:dyDescent="0.25">
      <c r="D16" s="89"/>
      <c r="E16" s="89"/>
      <c r="F16" s="89"/>
      <c r="G16" s="89"/>
      <c r="H16" s="89"/>
      <c r="I16" s="89"/>
    </row>
    <row r="17" spans="2:9" ht="15.75" thickBot="1" x14ac:dyDescent="0.3">
      <c r="B17" s="1" t="s">
        <v>85</v>
      </c>
      <c r="D17" s="94">
        <f>D13-D15</f>
        <v>300223.42186600034</v>
      </c>
      <c r="E17" s="94">
        <f t="shared" ref="E17:H17" si="2">E13-E15</f>
        <v>359855.92186600034</v>
      </c>
      <c r="F17" s="94">
        <f t="shared" si="2"/>
        <v>395320.39686600032</v>
      </c>
      <c r="G17" s="94">
        <f t="shared" si="2"/>
        <v>419150.56611600012</v>
      </c>
      <c r="H17" s="94">
        <f t="shared" si="2"/>
        <v>443881.60564350028</v>
      </c>
      <c r="I17" s="89"/>
    </row>
    <row r="18" spans="2:9" ht="15.75" thickTop="1" x14ac:dyDescent="0.25">
      <c r="D18" s="95">
        <f>-Dashboard!C5</f>
        <v>-5000000</v>
      </c>
      <c r="E18" s="89"/>
      <c r="F18" s="89"/>
      <c r="G18" s="89"/>
      <c r="H18" s="89">
        <f>Dashboard!C6</f>
        <v>9752109.1170333344</v>
      </c>
      <c r="I18" s="89"/>
    </row>
    <row r="19" spans="2:9" x14ac:dyDescent="0.25">
      <c r="D19" s="89"/>
      <c r="E19" s="89"/>
      <c r="F19" s="89"/>
      <c r="G19" s="89"/>
      <c r="H19" s="89"/>
      <c r="I19" s="89"/>
    </row>
    <row r="20" spans="2:9" s="99" customFormat="1" x14ac:dyDescent="0.25">
      <c r="B20" s="99" t="s">
        <v>113</v>
      </c>
      <c r="D20" s="105">
        <f>D17+D18</f>
        <v>-4699776.5781339994</v>
      </c>
      <c r="E20" s="106">
        <f>E17</f>
        <v>359855.92186600034</v>
      </c>
      <c r="F20" s="106">
        <f t="shared" ref="F20:G20" si="3">F17</f>
        <v>395320.39686600032</v>
      </c>
      <c r="G20" s="106">
        <f t="shared" si="3"/>
        <v>419150.56611600012</v>
      </c>
      <c r="H20" s="106">
        <f>H18+H17</f>
        <v>10195990.722676834</v>
      </c>
      <c r="I20" s="106"/>
    </row>
    <row r="21" spans="2:9" x14ac:dyDescent="0.25">
      <c r="D21" s="89"/>
      <c r="E21" s="89"/>
      <c r="F21" s="89"/>
      <c r="G21" s="89"/>
      <c r="H21" s="89"/>
      <c r="I21" s="89"/>
    </row>
    <row r="22" spans="2:9" x14ac:dyDescent="0.25">
      <c r="D22" s="89"/>
      <c r="E22" s="89"/>
      <c r="F22" s="89"/>
      <c r="G22" s="89"/>
      <c r="H22" s="89"/>
      <c r="I22" s="89"/>
    </row>
    <row r="23" spans="2:9" x14ac:dyDescent="0.25">
      <c r="D23" s="89"/>
      <c r="E23" s="89"/>
      <c r="F23" s="89"/>
      <c r="G23" s="89"/>
      <c r="H23" s="89"/>
      <c r="I23" s="89"/>
    </row>
    <row r="24" spans="2:9" x14ac:dyDescent="0.25">
      <c r="D24" s="89"/>
      <c r="E24" s="89"/>
      <c r="F24" s="89"/>
      <c r="G24" s="89"/>
      <c r="H24" s="89"/>
      <c r="I24" s="89"/>
    </row>
    <row r="25" spans="2:9" x14ac:dyDescent="0.25">
      <c r="D25" s="89"/>
      <c r="E25" s="89"/>
      <c r="F25" s="89"/>
      <c r="G25" s="89"/>
      <c r="H25" s="89"/>
      <c r="I25" s="8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F804-EF8E-4C1B-AE5A-855DECB3E10D}">
  <dimension ref="B3:I469"/>
  <sheetViews>
    <sheetView showGridLines="0" tabSelected="1" topLeftCell="A5" workbookViewId="0">
      <pane ySplit="6" topLeftCell="A24" activePane="bottomLeft" state="frozen"/>
      <selection activeCell="A5" sqref="A5"/>
      <selection pane="bottomLeft" activeCell="G24" sqref="G24"/>
    </sheetView>
  </sheetViews>
  <sheetFormatPr defaultRowHeight="15" x14ac:dyDescent="0.25"/>
  <cols>
    <col min="2" max="2" width="23" bestFit="1" customWidth="1"/>
    <col min="3" max="3" width="16.42578125" customWidth="1"/>
    <col min="4" max="4" width="9.5703125" bestFit="1" customWidth="1"/>
    <col min="5" max="5" width="10.42578125" bestFit="1" customWidth="1"/>
    <col min="6" max="6" width="9.5703125" bestFit="1" customWidth="1"/>
    <col min="7" max="7" width="18.28515625" bestFit="1" customWidth="1"/>
    <col min="8" max="8" width="9" bestFit="1" customWidth="1"/>
    <col min="9" max="9" width="11" bestFit="1" customWidth="1"/>
  </cols>
  <sheetData>
    <row r="3" spans="2:9" x14ac:dyDescent="0.25">
      <c r="B3" s="48" t="s">
        <v>90</v>
      </c>
      <c r="C3" s="48"/>
      <c r="D3" s="48"/>
      <c r="E3" s="48"/>
      <c r="F3" s="48"/>
      <c r="G3" s="48"/>
      <c r="H3" s="48"/>
      <c r="I3" s="48"/>
    </row>
    <row r="4" spans="2:9" x14ac:dyDescent="0.25">
      <c r="B4" s="56"/>
      <c r="C4" s="56"/>
      <c r="D4" s="56"/>
      <c r="E4" s="56"/>
      <c r="F4" s="57"/>
      <c r="G4" s="56"/>
      <c r="H4" s="56"/>
      <c r="I4" s="56"/>
    </row>
    <row r="5" spans="2:9" x14ac:dyDescent="0.25">
      <c r="B5" s="55"/>
      <c r="C5" s="55"/>
      <c r="D5" s="55"/>
      <c r="E5" s="56"/>
      <c r="F5" s="80"/>
      <c r="G5" s="55"/>
      <c r="H5" s="55"/>
      <c r="I5" s="56"/>
    </row>
    <row r="6" spans="2:9" x14ac:dyDescent="0.25">
      <c r="B6" s="47" t="s">
        <v>91</v>
      </c>
      <c r="C6" s="55"/>
      <c r="D6" s="46"/>
      <c r="E6" s="50">
        <f>Dashboard!B12</f>
        <v>3750000</v>
      </c>
      <c r="F6" s="55"/>
      <c r="G6" s="64" t="s">
        <v>92</v>
      </c>
      <c r="H6" s="49"/>
      <c r="I6" s="53">
        <f>E8/12</f>
        <v>3.3333333333333335E-3</v>
      </c>
    </row>
    <row r="7" spans="2:9" x14ac:dyDescent="0.25">
      <c r="B7" s="47" t="s">
        <v>93</v>
      </c>
      <c r="C7" s="55"/>
      <c r="D7" s="46"/>
      <c r="E7" s="51">
        <v>25</v>
      </c>
      <c r="F7" s="55"/>
      <c r="G7" s="47" t="s">
        <v>110</v>
      </c>
      <c r="H7" s="46"/>
      <c r="I7" s="62">
        <f>PMT($I$6,$I$8,-E6,,)</f>
        <v>19793.881511166648</v>
      </c>
    </row>
    <row r="8" spans="2:9" x14ac:dyDescent="0.25">
      <c r="B8" s="47" t="s">
        <v>94</v>
      </c>
      <c r="C8" s="55"/>
      <c r="D8" s="46"/>
      <c r="E8" s="52">
        <v>0.04</v>
      </c>
      <c r="F8" s="55"/>
      <c r="G8" s="47" t="s">
        <v>95</v>
      </c>
      <c r="H8" s="46"/>
      <c r="I8" s="54">
        <f>E7*12</f>
        <v>300</v>
      </c>
    </row>
    <row r="9" spans="2:9" x14ac:dyDescent="0.25">
      <c r="B9" s="46"/>
      <c r="C9" s="46"/>
      <c r="D9" s="46"/>
      <c r="E9" s="46"/>
      <c r="F9" s="55"/>
      <c r="G9" s="46"/>
      <c r="H9" s="46"/>
      <c r="I9" s="46"/>
    </row>
    <row r="10" spans="2:9" x14ac:dyDescent="0.25">
      <c r="B10" s="63" t="s">
        <v>87</v>
      </c>
      <c r="C10" s="63" t="s">
        <v>100</v>
      </c>
      <c r="D10" s="63" t="s">
        <v>88</v>
      </c>
      <c r="E10" s="63" t="s">
        <v>96</v>
      </c>
      <c r="F10" s="63" t="s">
        <v>89</v>
      </c>
      <c r="G10" s="63" t="s">
        <v>99</v>
      </c>
      <c r="H10" s="63" t="s">
        <v>97</v>
      </c>
      <c r="I10" s="63" t="s">
        <v>98</v>
      </c>
    </row>
    <row r="11" spans="2:9" x14ac:dyDescent="0.25">
      <c r="B11" s="58">
        <v>1</v>
      </c>
      <c r="C11" s="58">
        <f>E6</f>
        <v>3750000</v>
      </c>
      <c r="D11" s="59">
        <f>$I$7</f>
        <v>19793.881511166648</v>
      </c>
      <c r="E11" s="59">
        <f>C11*$I$6</f>
        <v>12500</v>
      </c>
      <c r="F11" s="59">
        <f>D11-E11</f>
        <v>7293.8815111666481</v>
      </c>
      <c r="G11" s="59">
        <f>C11-F11</f>
        <v>3742706.1184888333</v>
      </c>
      <c r="H11" s="60">
        <f>E11/D11</f>
        <v>0.63150827658274955</v>
      </c>
      <c r="I11" s="60">
        <f>F11/D11</f>
        <v>0.36849172341725045</v>
      </c>
    </row>
    <row r="12" spans="2:9" x14ac:dyDescent="0.25">
      <c r="B12" s="58">
        <f>B11+1</f>
        <v>2</v>
      </c>
      <c r="C12" s="58">
        <f>G11</f>
        <v>3742706.1184888333</v>
      </c>
      <c r="D12" s="59">
        <f>$I$7</f>
        <v>19793.881511166648</v>
      </c>
      <c r="E12" s="59">
        <f>C12*$I$6</f>
        <v>12475.687061629445</v>
      </c>
      <c r="F12" s="59">
        <f>D12-E12</f>
        <v>7318.1944495372027</v>
      </c>
      <c r="G12" s="59">
        <f t="shared" ref="G12" si="0">C12-F12</f>
        <v>3735387.9240392959</v>
      </c>
      <c r="H12" s="60">
        <f t="shared" ref="H12" si="1">E12/D12</f>
        <v>0.63027997083802545</v>
      </c>
      <c r="I12" s="60">
        <f t="shared" ref="I12" si="2">F12/D12</f>
        <v>0.36972002916197461</v>
      </c>
    </row>
    <row r="13" spans="2:9" x14ac:dyDescent="0.25">
      <c r="B13" s="58">
        <f t="shared" ref="B13:B76" si="3">B12+1</f>
        <v>3</v>
      </c>
      <c r="C13" s="58">
        <f t="shared" ref="C13:C76" si="4">G12</f>
        <v>3735387.9240392959</v>
      </c>
      <c r="D13" s="59">
        <f t="shared" ref="D13:D76" si="5">$I$7</f>
        <v>19793.881511166648</v>
      </c>
      <c r="E13" s="59">
        <f t="shared" ref="E13:E76" si="6">C13*$I$6</f>
        <v>12451.293080130987</v>
      </c>
      <c r="F13" s="59">
        <f t="shared" ref="F13:F76" si="7">D13-E13</f>
        <v>7342.5884310356614</v>
      </c>
      <c r="G13" s="59">
        <f t="shared" ref="G13:G76" si="8">C13-F13</f>
        <v>3728045.3356082602</v>
      </c>
      <c r="H13" s="60">
        <f t="shared" ref="H13:H76" si="9">E13/D13</f>
        <v>0.62904757074081874</v>
      </c>
      <c r="I13" s="60">
        <f t="shared" ref="I13:I76" si="10">F13/D13</f>
        <v>0.37095242925918126</v>
      </c>
    </row>
    <row r="14" spans="2:9" x14ac:dyDescent="0.25">
      <c r="B14" s="58">
        <f t="shared" si="3"/>
        <v>4</v>
      </c>
      <c r="C14" s="58">
        <f t="shared" si="4"/>
        <v>3728045.3356082602</v>
      </c>
      <c r="D14" s="59">
        <f t="shared" si="5"/>
        <v>19793.881511166648</v>
      </c>
      <c r="E14" s="59">
        <f t="shared" si="6"/>
        <v>12426.817785360869</v>
      </c>
      <c r="F14" s="59">
        <f t="shared" si="7"/>
        <v>7367.0637258057795</v>
      </c>
      <c r="G14" s="59">
        <f t="shared" si="8"/>
        <v>3720678.2718824544</v>
      </c>
      <c r="H14" s="60">
        <f t="shared" si="9"/>
        <v>0.62781106264328823</v>
      </c>
      <c r="I14" s="60">
        <f t="shared" si="10"/>
        <v>0.37218893735671182</v>
      </c>
    </row>
    <row r="15" spans="2:9" x14ac:dyDescent="0.25">
      <c r="B15" s="58">
        <f t="shared" si="3"/>
        <v>5</v>
      </c>
      <c r="C15" s="58">
        <f t="shared" si="4"/>
        <v>3720678.2718824544</v>
      </c>
      <c r="D15" s="59">
        <f t="shared" si="5"/>
        <v>19793.881511166648</v>
      </c>
      <c r="E15" s="59">
        <f t="shared" si="6"/>
        <v>12402.260906274849</v>
      </c>
      <c r="F15" s="59">
        <f t="shared" si="7"/>
        <v>7391.6206048917993</v>
      </c>
      <c r="G15" s="59">
        <f t="shared" si="8"/>
        <v>3713286.6512775626</v>
      </c>
      <c r="H15" s="60">
        <f t="shared" si="9"/>
        <v>0.62657043285209912</v>
      </c>
      <c r="I15" s="60">
        <f t="shared" si="10"/>
        <v>0.37342956714790088</v>
      </c>
    </row>
    <row r="16" spans="2:9" x14ac:dyDescent="0.25">
      <c r="B16" s="58">
        <f t="shared" si="3"/>
        <v>6</v>
      </c>
      <c r="C16" s="58">
        <f t="shared" si="4"/>
        <v>3713286.6512775626</v>
      </c>
      <c r="D16" s="59">
        <f t="shared" si="5"/>
        <v>19793.881511166648</v>
      </c>
      <c r="E16" s="59">
        <f t="shared" si="6"/>
        <v>12377.62217092521</v>
      </c>
      <c r="F16" s="59">
        <f t="shared" si="7"/>
        <v>7416.2593402414386</v>
      </c>
      <c r="G16" s="59">
        <f t="shared" si="8"/>
        <v>3705870.3919373211</v>
      </c>
      <c r="H16" s="60">
        <f t="shared" si="9"/>
        <v>0.6253256676282728</v>
      </c>
      <c r="I16" s="60">
        <f t="shared" si="10"/>
        <v>0.3746743323717272</v>
      </c>
    </row>
    <row r="17" spans="2:9" x14ac:dyDescent="0.25">
      <c r="B17" s="58">
        <f t="shared" si="3"/>
        <v>7</v>
      </c>
      <c r="C17" s="58">
        <f t="shared" si="4"/>
        <v>3705870.3919373211</v>
      </c>
      <c r="D17" s="59">
        <f t="shared" si="5"/>
        <v>19793.881511166648</v>
      </c>
      <c r="E17" s="59">
        <f t="shared" si="6"/>
        <v>12352.901306457738</v>
      </c>
      <c r="F17" s="59">
        <f t="shared" si="7"/>
        <v>7440.9802047089106</v>
      </c>
      <c r="G17" s="59">
        <f t="shared" si="8"/>
        <v>3698429.4117326122</v>
      </c>
      <c r="H17" s="60">
        <f t="shared" si="9"/>
        <v>0.62407675318703371</v>
      </c>
      <c r="I17" s="60">
        <f t="shared" si="10"/>
        <v>0.37592324681296629</v>
      </c>
    </row>
    <row r="18" spans="2:9" x14ac:dyDescent="0.25">
      <c r="B18" s="58">
        <f t="shared" si="3"/>
        <v>8</v>
      </c>
      <c r="C18" s="58">
        <f t="shared" si="4"/>
        <v>3698429.4117326122</v>
      </c>
      <c r="D18" s="59">
        <f t="shared" si="5"/>
        <v>19793.881511166648</v>
      </c>
      <c r="E18" s="59">
        <f t="shared" si="6"/>
        <v>12328.098039108709</v>
      </c>
      <c r="F18" s="59">
        <f t="shared" si="7"/>
        <v>7465.7834720579394</v>
      </c>
      <c r="G18" s="59">
        <f t="shared" si="8"/>
        <v>3690963.6282605543</v>
      </c>
      <c r="H18" s="60">
        <f t="shared" si="9"/>
        <v>0.62282367569765718</v>
      </c>
      <c r="I18" s="60">
        <f t="shared" si="10"/>
        <v>0.37717632430234282</v>
      </c>
    </row>
    <row r="19" spans="2:9" x14ac:dyDescent="0.25">
      <c r="B19" s="58">
        <f t="shared" si="3"/>
        <v>9</v>
      </c>
      <c r="C19" s="58">
        <f t="shared" si="4"/>
        <v>3690963.6282605543</v>
      </c>
      <c r="D19" s="59">
        <f t="shared" si="5"/>
        <v>19793.881511166648</v>
      </c>
      <c r="E19" s="59">
        <f t="shared" si="6"/>
        <v>12303.212094201848</v>
      </c>
      <c r="F19" s="59">
        <f t="shared" si="7"/>
        <v>7490.6694169647999</v>
      </c>
      <c r="G19" s="59">
        <f t="shared" si="8"/>
        <v>3683472.9588435893</v>
      </c>
      <c r="H19" s="60">
        <f t="shared" si="9"/>
        <v>0.62156642128331596</v>
      </c>
      <c r="I19" s="60">
        <f t="shared" si="10"/>
        <v>0.37843357871668398</v>
      </c>
    </row>
    <row r="20" spans="2:9" x14ac:dyDescent="0.25">
      <c r="B20" s="58">
        <f t="shared" si="3"/>
        <v>10</v>
      </c>
      <c r="C20" s="58">
        <f t="shared" si="4"/>
        <v>3683472.9588435893</v>
      </c>
      <c r="D20" s="59">
        <f t="shared" si="5"/>
        <v>19793.881511166648</v>
      </c>
      <c r="E20" s="59">
        <f t="shared" si="6"/>
        <v>12278.243196145298</v>
      </c>
      <c r="F20" s="59">
        <f t="shared" si="7"/>
        <v>7515.6383150213496</v>
      </c>
      <c r="G20" s="59">
        <f t="shared" si="8"/>
        <v>3675957.3205285678</v>
      </c>
      <c r="H20" s="60">
        <f t="shared" si="9"/>
        <v>0.62030497602092705</v>
      </c>
      <c r="I20" s="60">
        <f t="shared" si="10"/>
        <v>0.37969502397907295</v>
      </c>
    </row>
    <row r="21" spans="2:9" x14ac:dyDescent="0.25">
      <c r="B21" s="58">
        <f t="shared" si="3"/>
        <v>11</v>
      </c>
      <c r="C21" s="58">
        <f t="shared" si="4"/>
        <v>3675957.3205285678</v>
      </c>
      <c r="D21" s="59">
        <f t="shared" si="5"/>
        <v>19793.881511166648</v>
      </c>
      <c r="E21" s="59">
        <f t="shared" si="6"/>
        <v>12253.191068428559</v>
      </c>
      <c r="F21" s="59">
        <f t="shared" si="7"/>
        <v>7540.6904427380887</v>
      </c>
      <c r="G21" s="59">
        <f t="shared" si="8"/>
        <v>3668416.6300858296</v>
      </c>
      <c r="H21" s="60">
        <f t="shared" si="9"/>
        <v>0.61903932594099675</v>
      </c>
      <c r="I21" s="60">
        <f t="shared" si="10"/>
        <v>0.3809606740590033</v>
      </c>
    </row>
    <row r="22" spans="2:9" x14ac:dyDescent="0.25">
      <c r="B22" s="58">
        <f t="shared" si="3"/>
        <v>12</v>
      </c>
      <c r="C22" s="58">
        <f t="shared" si="4"/>
        <v>3668416.6300858296</v>
      </c>
      <c r="D22" s="59">
        <f t="shared" si="5"/>
        <v>19793.881511166648</v>
      </c>
      <c r="E22" s="59">
        <f t="shared" si="6"/>
        <v>12228.055433619433</v>
      </c>
      <c r="F22" s="59">
        <f t="shared" si="7"/>
        <v>7565.8260775472154</v>
      </c>
      <c r="G22" s="59">
        <f t="shared" si="8"/>
        <v>3660850.8040082823</v>
      </c>
      <c r="H22" s="60">
        <f t="shared" si="9"/>
        <v>0.61776945702746677</v>
      </c>
      <c r="I22" s="60">
        <f t="shared" si="10"/>
        <v>0.38223054297253328</v>
      </c>
    </row>
    <row r="23" spans="2:9" x14ac:dyDescent="0.25">
      <c r="B23" s="58">
        <f t="shared" si="3"/>
        <v>13</v>
      </c>
      <c r="C23" s="58">
        <f t="shared" si="4"/>
        <v>3660850.8040082823</v>
      </c>
      <c r="D23" s="59">
        <f t="shared" si="5"/>
        <v>19793.881511166648</v>
      </c>
      <c r="E23" s="59">
        <f t="shared" si="6"/>
        <v>12202.836013360942</v>
      </c>
      <c r="F23" s="59">
        <f t="shared" si="7"/>
        <v>7591.045497805706</v>
      </c>
      <c r="G23" s="59">
        <f t="shared" si="8"/>
        <v>3653259.7585104764</v>
      </c>
      <c r="H23" s="60">
        <f t="shared" si="9"/>
        <v>0.61649535521755827</v>
      </c>
      <c r="I23" s="60">
        <f t="shared" si="10"/>
        <v>0.38350464478244173</v>
      </c>
    </row>
    <row r="24" spans="2:9" x14ac:dyDescent="0.25">
      <c r="B24" s="58">
        <f t="shared" si="3"/>
        <v>14</v>
      </c>
      <c r="C24" s="58">
        <f t="shared" si="4"/>
        <v>3653259.7585104764</v>
      </c>
      <c r="D24" s="59">
        <f t="shared" si="5"/>
        <v>19793.881511166648</v>
      </c>
      <c r="E24" s="59">
        <f t="shared" si="6"/>
        <v>12177.532528368256</v>
      </c>
      <c r="F24" s="59">
        <f t="shared" si="7"/>
        <v>7616.3489827983922</v>
      </c>
      <c r="G24" s="59">
        <f t="shared" si="8"/>
        <v>3645643.409527678</v>
      </c>
      <c r="H24" s="60">
        <f t="shared" si="9"/>
        <v>0.61521700640161681</v>
      </c>
      <c r="I24" s="60">
        <f t="shared" si="10"/>
        <v>0.38478299359838319</v>
      </c>
    </row>
    <row r="25" spans="2:9" x14ac:dyDescent="0.25">
      <c r="B25" s="58">
        <f t="shared" si="3"/>
        <v>15</v>
      </c>
      <c r="C25" s="58">
        <f t="shared" si="4"/>
        <v>3645643.409527678</v>
      </c>
      <c r="D25" s="59">
        <f t="shared" si="5"/>
        <v>19793.881511166648</v>
      </c>
      <c r="E25" s="59">
        <f t="shared" si="6"/>
        <v>12152.144698425594</v>
      </c>
      <c r="F25" s="59">
        <f t="shared" si="7"/>
        <v>7641.7368127410537</v>
      </c>
      <c r="G25" s="59">
        <f t="shared" si="8"/>
        <v>3638001.672714937</v>
      </c>
      <c r="H25" s="60">
        <f t="shared" si="9"/>
        <v>0.61393439642295555</v>
      </c>
      <c r="I25" s="60">
        <f t="shared" si="10"/>
        <v>0.3860656035770445</v>
      </c>
    </row>
    <row r="26" spans="2:9" x14ac:dyDescent="0.25">
      <c r="B26" s="58">
        <f t="shared" si="3"/>
        <v>16</v>
      </c>
      <c r="C26" s="58">
        <f t="shared" si="4"/>
        <v>3638001.672714937</v>
      </c>
      <c r="D26" s="59">
        <f t="shared" si="5"/>
        <v>19793.881511166648</v>
      </c>
      <c r="E26" s="59">
        <f t="shared" si="6"/>
        <v>12126.672242383123</v>
      </c>
      <c r="F26" s="59">
        <f t="shared" si="7"/>
        <v>7667.2092687835247</v>
      </c>
      <c r="G26" s="59">
        <f t="shared" si="8"/>
        <v>3630334.4634461533</v>
      </c>
      <c r="H26" s="60">
        <f t="shared" si="9"/>
        <v>0.61264751107769866</v>
      </c>
      <c r="I26" s="60">
        <f t="shared" si="10"/>
        <v>0.38735248892230134</v>
      </c>
    </row>
    <row r="27" spans="2:9" x14ac:dyDescent="0.25">
      <c r="B27" s="58">
        <f t="shared" si="3"/>
        <v>17</v>
      </c>
      <c r="C27" s="58">
        <f t="shared" si="4"/>
        <v>3630334.4634461533</v>
      </c>
      <c r="D27" s="59">
        <f t="shared" si="5"/>
        <v>19793.881511166648</v>
      </c>
      <c r="E27" s="59">
        <f t="shared" si="6"/>
        <v>12101.114878153845</v>
      </c>
      <c r="F27" s="59">
        <f t="shared" si="7"/>
        <v>7692.7666330128031</v>
      </c>
      <c r="G27" s="59">
        <f t="shared" si="8"/>
        <v>3622641.6968131405</v>
      </c>
      <c r="H27" s="60">
        <f t="shared" si="9"/>
        <v>0.61135633611462425</v>
      </c>
      <c r="I27" s="60">
        <f t="shared" si="10"/>
        <v>0.38864366388537569</v>
      </c>
    </row>
    <row r="28" spans="2:9" x14ac:dyDescent="0.25">
      <c r="B28" s="58">
        <f t="shared" si="3"/>
        <v>18</v>
      </c>
      <c r="C28" s="58">
        <f t="shared" si="4"/>
        <v>3622641.6968131405</v>
      </c>
      <c r="D28" s="59">
        <f t="shared" si="5"/>
        <v>19793.881511166648</v>
      </c>
      <c r="E28" s="59">
        <f t="shared" si="6"/>
        <v>12075.47232271047</v>
      </c>
      <c r="F28" s="59">
        <f t="shared" si="7"/>
        <v>7718.4091884561785</v>
      </c>
      <c r="G28" s="59">
        <f t="shared" si="8"/>
        <v>3614923.2876246842</v>
      </c>
      <c r="H28" s="60">
        <f t="shared" si="9"/>
        <v>0.61006085723500647</v>
      </c>
      <c r="I28" s="60">
        <f t="shared" si="10"/>
        <v>0.38993914276499358</v>
      </c>
    </row>
    <row r="29" spans="2:9" x14ac:dyDescent="0.25">
      <c r="B29" s="58">
        <f t="shared" si="3"/>
        <v>19</v>
      </c>
      <c r="C29" s="58">
        <f t="shared" si="4"/>
        <v>3614923.2876246842</v>
      </c>
      <c r="D29" s="59">
        <f t="shared" si="5"/>
        <v>19793.881511166648</v>
      </c>
      <c r="E29" s="59">
        <f t="shared" si="6"/>
        <v>12049.744292082281</v>
      </c>
      <c r="F29" s="59">
        <f t="shared" si="7"/>
        <v>7744.1372190843667</v>
      </c>
      <c r="G29" s="59">
        <f t="shared" si="8"/>
        <v>3607179.1504055997</v>
      </c>
      <c r="H29" s="60">
        <f t="shared" si="9"/>
        <v>0.60876106009245634</v>
      </c>
      <c r="I29" s="60">
        <f t="shared" si="10"/>
        <v>0.3912389399075436</v>
      </c>
    </row>
    <row r="30" spans="2:9" x14ac:dyDescent="0.25">
      <c r="B30" s="58">
        <f t="shared" si="3"/>
        <v>20</v>
      </c>
      <c r="C30" s="58">
        <f t="shared" si="4"/>
        <v>3607179.1504055997</v>
      </c>
      <c r="D30" s="59">
        <f t="shared" si="5"/>
        <v>19793.881511166648</v>
      </c>
      <c r="E30" s="59">
        <f t="shared" si="6"/>
        <v>12023.930501352001</v>
      </c>
      <c r="F30" s="59">
        <f t="shared" si="7"/>
        <v>7769.9510098146475</v>
      </c>
      <c r="G30" s="59">
        <f t="shared" si="8"/>
        <v>3599409.1993957851</v>
      </c>
      <c r="H30" s="60">
        <f t="shared" si="9"/>
        <v>0.6074569302927646</v>
      </c>
      <c r="I30" s="60">
        <f t="shared" si="10"/>
        <v>0.3925430697072354</v>
      </c>
    </row>
    <row r="31" spans="2:9" x14ac:dyDescent="0.25">
      <c r="B31" s="58">
        <f t="shared" si="3"/>
        <v>21</v>
      </c>
      <c r="C31" s="58">
        <f t="shared" si="4"/>
        <v>3599409.1993957851</v>
      </c>
      <c r="D31" s="59">
        <f t="shared" si="5"/>
        <v>19793.881511166648</v>
      </c>
      <c r="E31" s="59">
        <f t="shared" si="6"/>
        <v>11998.030664652617</v>
      </c>
      <c r="F31" s="59">
        <f t="shared" si="7"/>
        <v>7795.8508465140312</v>
      </c>
      <c r="G31" s="59">
        <f t="shared" si="8"/>
        <v>3591613.348549271</v>
      </c>
      <c r="H31" s="60">
        <f t="shared" si="9"/>
        <v>0.60614845339374035</v>
      </c>
      <c r="I31" s="60">
        <f t="shared" si="10"/>
        <v>0.39385154660625959</v>
      </c>
    </row>
    <row r="32" spans="2:9" x14ac:dyDescent="0.25">
      <c r="B32" s="58">
        <f t="shared" si="3"/>
        <v>22</v>
      </c>
      <c r="C32" s="58">
        <f t="shared" si="4"/>
        <v>3591613.348549271</v>
      </c>
      <c r="D32" s="59">
        <f t="shared" si="5"/>
        <v>19793.881511166648</v>
      </c>
      <c r="E32" s="59">
        <f t="shared" si="6"/>
        <v>11972.044495164237</v>
      </c>
      <c r="F32" s="59">
        <f t="shared" si="7"/>
        <v>7821.8370160024115</v>
      </c>
      <c r="G32" s="59">
        <f t="shared" si="8"/>
        <v>3583791.5115332687</v>
      </c>
      <c r="H32" s="60">
        <f t="shared" si="9"/>
        <v>0.60483561490505289</v>
      </c>
      <c r="I32" s="60">
        <f t="shared" si="10"/>
        <v>0.39516438509494711</v>
      </c>
    </row>
    <row r="33" spans="2:9" x14ac:dyDescent="0.25">
      <c r="B33" s="58">
        <f t="shared" si="3"/>
        <v>23</v>
      </c>
      <c r="C33" s="58">
        <f t="shared" si="4"/>
        <v>3583791.5115332687</v>
      </c>
      <c r="D33" s="59">
        <f t="shared" si="5"/>
        <v>19793.881511166648</v>
      </c>
      <c r="E33" s="59">
        <f t="shared" si="6"/>
        <v>11945.971705110896</v>
      </c>
      <c r="F33" s="59">
        <f t="shared" si="7"/>
        <v>7847.9098060557517</v>
      </c>
      <c r="G33" s="59">
        <f t="shared" si="8"/>
        <v>3575943.6017272128</v>
      </c>
      <c r="H33" s="60">
        <f t="shared" si="9"/>
        <v>0.6035184002880698</v>
      </c>
      <c r="I33" s="60">
        <f t="shared" si="10"/>
        <v>0.39648159971193025</v>
      </c>
    </row>
    <row r="34" spans="2:9" x14ac:dyDescent="0.25">
      <c r="B34" s="58">
        <f t="shared" si="3"/>
        <v>24</v>
      </c>
      <c r="C34" s="58">
        <f t="shared" si="4"/>
        <v>3575943.6017272128</v>
      </c>
      <c r="D34" s="59">
        <f t="shared" si="5"/>
        <v>19793.881511166648</v>
      </c>
      <c r="E34" s="59">
        <f t="shared" si="6"/>
        <v>11919.812005757376</v>
      </c>
      <c r="F34" s="59">
        <f t="shared" si="7"/>
        <v>7874.0695054092721</v>
      </c>
      <c r="G34" s="59">
        <f t="shared" si="8"/>
        <v>3568069.5322218034</v>
      </c>
      <c r="H34" s="60">
        <f t="shared" si="9"/>
        <v>0.60219679495569656</v>
      </c>
      <c r="I34" s="60">
        <f t="shared" si="10"/>
        <v>0.39780320504430339</v>
      </c>
    </row>
    <row r="35" spans="2:9" x14ac:dyDescent="0.25">
      <c r="B35" s="58">
        <f t="shared" si="3"/>
        <v>25</v>
      </c>
      <c r="C35" s="58">
        <f t="shared" si="4"/>
        <v>3568069.5322218034</v>
      </c>
      <c r="D35" s="59">
        <f t="shared" si="5"/>
        <v>19793.881511166648</v>
      </c>
      <c r="E35" s="59">
        <f t="shared" si="6"/>
        <v>11893.565107406012</v>
      </c>
      <c r="F35" s="59">
        <f t="shared" si="7"/>
        <v>7900.3164037606366</v>
      </c>
      <c r="G35" s="59">
        <f t="shared" si="8"/>
        <v>3560169.2158180429</v>
      </c>
      <c r="H35" s="60">
        <f t="shared" si="9"/>
        <v>0.60087078427221563</v>
      </c>
      <c r="I35" s="60">
        <f t="shared" si="10"/>
        <v>0.39912921572778443</v>
      </c>
    </row>
    <row r="36" spans="2:9" x14ac:dyDescent="0.25">
      <c r="B36" s="58">
        <f t="shared" si="3"/>
        <v>26</v>
      </c>
      <c r="C36" s="58">
        <f t="shared" si="4"/>
        <v>3560169.2158180429</v>
      </c>
      <c r="D36" s="59">
        <f t="shared" si="5"/>
        <v>19793.881511166648</v>
      </c>
      <c r="E36" s="59">
        <f t="shared" si="6"/>
        <v>11867.230719393478</v>
      </c>
      <c r="F36" s="59">
        <f t="shared" si="7"/>
        <v>7926.6507917731706</v>
      </c>
      <c r="G36" s="59">
        <f t="shared" si="8"/>
        <v>3552242.5650262698</v>
      </c>
      <c r="H36" s="60">
        <f t="shared" si="9"/>
        <v>0.59954035355312307</v>
      </c>
      <c r="I36" s="60">
        <f t="shared" si="10"/>
        <v>0.40045964644687698</v>
      </c>
    </row>
    <row r="37" spans="2:9" x14ac:dyDescent="0.25">
      <c r="B37" s="58">
        <f t="shared" si="3"/>
        <v>27</v>
      </c>
      <c r="C37" s="58">
        <f t="shared" si="4"/>
        <v>3552242.5650262698</v>
      </c>
      <c r="D37" s="59">
        <f t="shared" si="5"/>
        <v>19793.881511166648</v>
      </c>
      <c r="E37" s="59">
        <f t="shared" si="6"/>
        <v>11840.808550087566</v>
      </c>
      <c r="F37" s="59">
        <f t="shared" si="7"/>
        <v>7953.0729610790822</v>
      </c>
      <c r="G37" s="59">
        <f t="shared" si="8"/>
        <v>3544289.4920651908</v>
      </c>
      <c r="H37" s="60">
        <f t="shared" si="9"/>
        <v>0.59820548806496676</v>
      </c>
      <c r="I37" s="60">
        <f t="shared" si="10"/>
        <v>0.40179451193503329</v>
      </c>
    </row>
    <row r="38" spans="2:9" x14ac:dyDescent="0.25">
      <c r="B38" s="58">
        <f t="shared" si="3"/>
        <v>28</v>
      </c>
      <c r="C38" s="58">
        <f t="shared" si="4"/>
        <v>3544289.4920651908</v>
      </c>
      <c r="D38" s="59">
        <f t="shared" si="5"/>
        <v>19793.881511166648</v>
      </c>
      <c r="E38" s="59">
        <f t="shared" si="6"/>
        <v>11814.298306883969</v>
      </c>
      <c r="F38" s="59">
        <f t="shared" si="7"/>
        <v>7979.5832042826787</v>
      </c>
      <c r="G38" s="59">
        <f t="shared" si="8"/>
        <v>3536309.9088609084</v>
      </c>
      <c r="H38" s="60">
        <f t="shared" si="9"/>
        <v>0.5968661730251833</v>
      </c>
      <c r="I38" s="60">
        <f t="shared" si="10"/>
        <v>0.4031338269748167</v>
      </c>
    </row>
    <row r="39" spans="2:9" x14ac:dyDescent="0.25">
      <c r="B39" s="58">
        <f t="shared" si="3"/>
        <v>29</v>
      </c>
      <c r="C39" s="58">
        <f t="shared" si="4"/>
        <v>3536309.9088609084</v>
      </c>
      <c r="D39" s="59">
        <f t="shared" si="5"/>
        <v>19793.881511166648</v>
      </c>
      <c r="E39" s="59">
        <f t="shared" si="6"/>
        <v>11787.699696203028</v>
      </c>
      <c r="F39" s="59">
        <f t="shared" si="7"/>
        <v>8006.1818149636201</v>
      </c>
      <c r="G39" s="59">
        <f t="shared" si="8"/>
        <v>3528303.7270459449</v>
      </c>
      <c r="H39" s="60">
        <f t="shared" si="9"/>
        <v>0.59552239360193393</v>
      </c>
      <c r="I39" s="60">
        <f t="shared" si="10"/>
        <v>0.40447760639806601</v>
      </c>
    </row>
    <row r="40" spans="2:9" x14ac:dyDescent="0.25">
      <c r="B40" s="58">
        <f t="shared" si="3"/>
        <v>30</v>
      </c>
      <c r="C40" s="58">
        <f t="shared" si="4"/>
        <v>3528303.7270459449</v>
      </c>
      <c r="D40" s="59">
        <f t="shared" si="5"/>
        <v>19793.881511166648</v>
      </c>
      <c r="E40" s="59">
        <f t="shared" si="6"/>
        <v>11761.012423486483</v>
      </c>
      <c r="F40" s="59">
        <f t="shared" si="7"/>
        <v>8032.8690876801647</v>
      </c>
      <c r="G40" s="59">
        <f t="shared" si="8"/>
        <v>3520270.8579582646</v>
      </c>
      <c r="H40" s="60">
        <f t="shared" si="9"/>
        <v>0.59417413491394044</v>
      </c>
      <c r="I40" s="60">
        <f t="shared" si="10"/>
        <v>0.40582586508605956</v>
      </c>
    </row>
    <row r="41" spans="2:9" x14ac:dyDescent="0.25">
      <c r="B41" s="58">
        <f t="shared" si="3"/>
        <v>31</v>
      </c>
      <c r="C41" s="58">
        <f t="shared" si="4"/>
        <v>3520270.8579582646</v>
      </c>
      <c r="D41" s="59">
        <f t="shared" si="5"/>
        <v>19793.881511166648</v>
      </c>
      <c r="E41" s="59">
        <f t="shared" si="6"/>
        <v>11734.236193194216</v>
      </c>
      <c r="F41" s="59">
        <f t="shared" si="7"/>
        <v>8059.6453179724322</v>
      </c>
      <c r="G41" s="59">
        <f t="shared" si="8"/>
        <v>3512211.212640292</v>
      </c>
      <c r="H41" s="60">
        <f t="shared" si="9"/>
        <v>0.5928213820303202</v>
      </c>
      <c r="I41" s="60">
        <f t="shared" si="10"/>
        <v>0.40717861796967975</v>
      </c>
    </row>
    <row r="42" spans="2:9" x14ac:dyDescent="0.25">
      <c r="B42" s="58">
        <f t="shared" si="3"/>
        <v>32</v>
      </c>
      <c r="C42" s="58">
        <f t="shared" si="4"/>
        <v>3512211.212640292</v>
      </c>
      <c r="D42" s="59">
        <f t="shared" si="5"/>
        <v>19793.881511166648</v>
      </c>
      <c r="E42" s="59">
        <f t="shared" si="6"/>
        <v>11707.370708800974</v>
      </c>
      <c r="F42" s="59">
        <f t="shared" si="7"/>
        <v>8086.510802365674</v>
      </c>
      <c r="G42" s="59">
        <f t="shared" si="8"/>
        <v>3504124.7018379262</v>
      </c>
      <c r="H42" s="60">
        <f t="shared" si="9"/>
        <v>0.59146411997042125</v>
      </c>
      <c r="I42" s="60">
        <f t="shared" si="10"/>
        <v>0.40853588002957869</v>
      </c>
    </row>
    <row r="43" spans="2:9" x14ac:dyDescent="0.25">
      <c r="B43" s="58">
        <f t="shared" si="3"/>
        <v>33</v>
      </c>
      <c r="C43" s="58">
        <f t="shared" si="4"/>
        <v>3504124.7018379262</v>
      </c>
      <c r="D43" s="59">
        <f t="shared" si="5"/>
        <v>19793.881511166648</v>
      </c>
      <c r="E43" s="59">
        <f t="shared" si="6"/>
        <v>11680.415672793088</v>
      </c>
      <c r="F43" s="59">
        <f t="shared" si="7"/>
        <v>8113.4658383735605</v>
      </c>
      <c r="G43" s="59">
        <f t="shared" si="8"/>
        <v>3496011.2359995525</v>
      </c>
      <c r="H43" s="60">
        <f t="shared" si="9"/>
        <v>0.59010233370365595</v>
      </c>
      <c r="I43" s="60">
        <f t="shared" si="10"/>
        <v>0.409897666296344</v>
      </c>
    </row>
    <row r="44" spans="2:9" x14ac:dyDescent="0.25">
      <c r="B44" s="58">
        <f t="shared" si="3"/>
        <v>34</v>
      </c>
      <c r="C44" s="58">
        <f t="shared" si="4"/>
        <v>3496011.2359995525</v>
      </c>
      <c r="D44" s="59">
        <f t="shared" si="5"/>
        <v>19793.881511166648</v>
      </c>
      <c r="E44" s="59">
        <f t="shared" si="6"/>
        <v>11653.370786665177</v>
      </c>
      <c r="F44" s="59">
        <f t="shared" si="7"/>
        <v>8140.5107245014715</v>
      </c>
      <c r="G44" s="59">
        <f t="shared" si="8"/>
        <v>3487870.7252750508</v>
      </c>
      <c r="H44" s="60">
        <f t="shared" si="9"/>
        <v>0.58873600814933491</v>
      </c>
      <c r="I44" s="60">
        <f t="shared" si="10"/>
        <v>0.41126399185066514</v>
      </c>
    </row>
    <row r="45" spans="2:9" x14ac:dyDescent="0.25">
      <c r="B45" s="58">
        <f t="shared" si="3"/>
        <v>35</v>
      </c>
      <c r="C45" s="58">
        <f t="shared" si="4"/>
        <v>3487870.7252750508</v>
      </c>
      <c r="D45" s="59">
        <f t="shared" si="5"/>
        <v>19793.881511166648</v>
      </c>
      <c r="E45" s="59">
        <f t="shared" si="6"/>
        <v>11626.235750916838</v>
      </c>
      <c r="F45" s="59">
        <f t="shared" si="7"/>
        <v>8167.6457602498103</v>
      </c>
      <c r="G45" s="59">
        <f t="shared" si="8"/>
        <v>3479703.079514801</v>
      </c>
      <c r="H45" s="60">
        <f t="shared" si="9"/>
        <v>0.58736512817649933</v>
      </c>
      <c r="I45" s="60">
        <f t="shared" si="10"/>
        <v>0.41263487182350073</v>
      </c>
    </row>
    <row r="46" spans="2:9" x14ac:dyDescent="0.25">
      <c r="B46" s="58">
        <f t="shared" si="3"/>
        <v>36</v>
      </c>
      <c r="C46" s="58">
        <f t="shared" si="4"/>
        <v>3479703.079514801</v>
      </c>
      <c r="D46" s="59">
        <f t="shared" si="5"/>
        <v>19793.881511166648</v>
      </c>
      <c r="E46" s="59">
        <f t="shared" si="6"/>
        <v>11599.010265049337</v>
      </c>
      <c r="F46" s="59">
        <f t="shared" si="7"/>
        <v>8194.8712461173109</v>
      </c>
      <c r="G46" s="59">
        <f t="shared" si="8"/>
        <v>3471508.2082686839</v>
      </c>
      <c r="H46" s="60">
        <f t="shared" si="9"/>
        <v>0.58598967860375428</v>
      </c>
      <c r="I46" s="60">
        <f t="shared" si="10"/>
        <v>0.41401032139624577</v>
      </c>
    </row>
    <row r="47" spans="2:9" x14ac:dyDescent="0.25">
      <c r="B47" s="58">
        <f t="shared" si="3"/>
        <v>37</v>
      </c>
      <c r="C47" s="58">
        <f t="shared" si="4"/>
        <v>3471508.2082686839</v>
      </c>
      <c r="D47" s="59">
        <f t="shared" si="5"/>
        <v>19793.881511166648</v>
      </c>
      <c r="E47" s="59">
        <f t="shared" si="6"/>
        <v>11571.69402756228</v>
      </c>
      <c r="F47" s="59">
        <f t="shared" si="7"/>
        <v>8222.187483604368</v>
      </c>
      <c r="G47" s="59">
        <f t="shared" si="8"/>
        <v>3463286.0207850793</v>
      </c>
      <c r="H47" s="60">
        <f t="shared" si="9"/>
        <v>0.58460964419910011</v>
      </c>
      <c r="I47" s="60">
        <f t="shared" si="10"/>
        <v>0.41539035580089989</v>
      </c>
    </row>
    <row r="48" spans="2:9" x14ac:dyDescent="0.25">
      <c r="B48" s="58">
        <f t="shared" si="3"/>
        <v>38</v>
      </c>
      <c r="C48" s="58">
        <f t="shared" si="4"/>
        <v>3463286.0207850793</v>
      </c>
      <c r="D48" s="59">
        <f t="shared" si="5"/>
        <v>19793.881511166648</v>
      </c>
      <c r="E48" s="59">
        <f t="shared" si="6"/>
        <v>11544.286735950265</v>
      </c>
      <c r="F48" s="59">
        <f t="shared" si="7"/>
        <v>8249.5947752163829</v>
      </c>
      <c r="G48" s="59">
        <f t="shared" si="8"/>
        <v>3455036.4260098631</v>
      </c>
      <c r="H48" s="60">
        <f t="shared" si="9"/>
        <v>0.58322500967976376</v>
      </c>
      <c r="I48" s="60">
        <f t="shared" si="10"/>
        <v>0.41677499032023624</v>
      </c>
    </row>
    <row r="49" spans="2:9" x14ac:dyDescent="0.25">
      <c r="B49" s="58">
        <f t="shared" si="3"/>
        <v>39</v>
      </c>
      <c r="C49" s="58">
        <f t="shared" si="4"/>
        <v>3455036.4260098631</v>
      </c>
      <c r="D49" s="59">
        <f t="shared" si="5"/>
        <v>19793.881511166648</v>
      </c>
      <c r="E49" s="59">
        <f t="shared" si="6"/>
        <v>11516.788086699544</v>
      </c>
      <c r="F49" s="59">
        <f t="shared" si="7"/>
        <v>8277.0934244671043</v>
      </c>
      <c r="G49" s="59">
        <f t="shared" si="8"/>
        <v>3446759.3325853962</v>
      </c>
      <c r="H49" s="60">
        <f t="shared" si="9"/>
        <v>0.58183575971202961</v>
      </c>
      <c r="I49" s="60">
        <f t="shared" si="10"/>
        <v>0.41816424028797039</v>
      </c>
    </row>
    <row r="50" spans="2:9" x14ac:dyDescent="0.25">
      <c r="B50" s="58">
        <f t="shared" si="3"/>
        <v>40</v>
      </c>
      <c r="C50" s="58">
        <f t="shared" si="4"/>
        <v>3446759.3325853962</v>
      </c>
      <c r="D50" s="59">
        <f t="shared" si="5"/>
        <v>19793.881511166648</v>
      </c>
      <c r="E50" s="59">
        <f t="shared" si="6"/>
        <v>11489.197775284654</v>
      </c>
      <c r="F50" s="59">
        <f t="shared" si="7"/>
        <v>8304.6837358819939</v>
      </c>
      <c r="G50" s="59">
        <f t="shared" si="8"/>
        <v>3438454.6488495143</v>
      </c>
      <c r="H50" s="60">
        <f t="shared" si="9"/>
        <v>0.5804418789110698</v>
      </c>
      <c r="I50" s="60">
        <f t="shared" si="10"/>
        <v>0.41955812108893026</v>
      </c>
    </row>
    <row r="51" spans="2:9" x14ac:dyDescent="0.25">
      <c r="B51" s="58">
        <f t="shared" si="3"/>
        <v>41</v>
      </c>
      <c r="C51" s="58">
        <f t="shared" si="4"/>
        <v>3438454.6488495143</v>
      </c>
      <c r="D51" s="59">
        <f t="shared" si="5"/>
        <v>19793.881511166648</v>
      </c>
      <c r="E51" s="59">
        <f t="shared" si="6"/>
        <v>11461.515496165048</v>
      </c>
      <c r="F51" s="59">
        <f t="shared" si="7"/>
        <v>8332.3660150016003</v>
      </c>
      <c r="G51" s="59">
        <f t="shared" si="8"/>
        <v>3430122.2828345126</v>
      </c>
      <c r="H51" s="60">
        <f t="shared" si="9"/>
        <v>0.57904335184077338</v>
      </c>
      <c r="I51" s="60">
        <f t="shared" si="10"/>
        <v>0.42095664815922668</v>
      </c>
    </row>
    <row r="52" spans="2:9" x14ac:dyDescent="0.25">
      <c r="B52" s="58">
        <f t="shared" si="3"/>
        <v>42</v>
      </c>
      <c r="C52" s="58">
        <f t="shared" si="4"/>
        <v>3430122.2828345126</v>
      </c>
      <c r="D52" s="59">
        <f t="shared" si="5"/>
        <v>19793.881511166648</v>
      </c>
      <c r="E52" s="59">
        <f t="shared" si="6"/>
        <v>11433.740942781709</v>
      </c>
      <c r="F52" s="59">
        <f t="shared" si="7"/>
        <v>8360.1405683849389</v>
      </c>
      <c r="G52" s="59">
        <f t="shared" si="8"/>
        <v>3421762.1422661277</v>
      </c>
      <c r="H52" s="60">
        <f t="shared" si="9"/>
        <v>0.5776401630135759</v>
      </c>
      <c r="I52" s="60">
        <f t="shared" si="10"/>
        <v>0.4223598369864241</v>
      </c>
    </row>
    <row r="53" spans="2:9" x14ac:dyDescent="0.25">
      <c r="B53" s="58">
        <f t="shared" si="3"/>
        <v>43</v>
      </c>
      <c r="C53" s="58">
        <f t="shared" si="4"/>
        <v>3421762.1422661277</v>
      </c>
      <c r="D53" s="59">
        <f t="shared" si="5"/>
        <v>19793.881511166648</v>
      </c>
      <c r="E53" s="59">
        <f t="shared" si="6"/>
        <v>11405.87380755376</v>
      </c>
      <c r="F53" s="59">
        <f t="shared" si="7"/>
        <v>8388.0077036128878</v>
      </c>
      <c r="G53" s="59">
        <f t="shared" si="8"/>
        <v>3413374.1345625147</v>
      </c>
      <c r="H53" s="60">
        <f t="shared" si="9"/>
        <v>0.57623229689028788</v>
      </c>
      <c r="I53" s="60">
        <f t="shared" si="10"/>
        <v>0.42376770310971212</v>
      </c>
    </row>
    <row r="54" spans="2:9" x14ac:dyDescent="0.25">
      <c r="B54" s="58">
        <f t="shared" si="3"/>
        <v>44</v>
      </c>
      <c r="C54" s="58">
        <f t="shared" si="4"/>
        <v>3413374.1345625147</v>
      </c>
      <c r="D54" s="59">
        <f t="shared" si="5"/>
        <v>19793.881511166648</v>
      </c>
      <c r="E54" s="59">
        <f t="shared" si="6"/>
        <v>11377.91378187505</v>
      </c>
      <c r="F54" s="59">
        <f t="shared" si="7"/>
        <v>8415.9677292915985</v>
      </c>
      <c r="G54" s="59">
        <f t="shared" si="8"/>
        <v>3404958.1668332233</v>
      </c>
      <c r="H54" s="60">
        <f t="shared" si="9"/>
        <v>0.57481973787992213</v>
      </c>
      <c r="I54" s="60">
        <f t="shared" si="10"/>
        <v>0.42518026212007787</v>
      </c>
    </row>
    <row r="55" spans="2:9" x14ac:dyDescent="0.25">
      <c r="B55" s="58">
        <f t="shared" si="3"/>
        <v>45</v>
      </c>
      <c r="C55" s="58">
        <f t="shared" si="4"/>
        <v>3404958.1668332233</v>
      </c>
      <c r="D55" s="59">
        <f t="shared" si="5"/>
        <v>19793.881511166648</v>
      </c>
      <c r="E55" s="59">
        <f t="shared" si="6"/>
        <v>11349.860556110745</v>
      </c>
      <c r="F55" s="59">
        <f t="shared" si="7"/>
        <v>8444.020955055903</v>
      </c>
      <c r="G55" s="59">
        <f t="shared" si="8"/>
        <v>3396514.1458781674</v>
      </c>
      <c r="H55" s="60">
        <f t="shared" si="9"/>
        <v>0.57340247033952196</v>
      </c>
      <c r="I55" s="60">
        <f t="shared" si="10"/>
        <v>0.42659752966047809</v>
      </c>
    </row>
    <row r="56" spans="2:9" x14ac:dyDescent="0.25">
      <c r="B56" s="58">
        <f t="shared" si="3"/>
        <v>46</v>
      </c>
      <c r="C56" s="58">
        <f t="shared" si="4"/>
        <v>3396514.1458781674</v>
      </c>
      <c r="D56" s="59">
        <f t="shared" si="5"/>
        <v>19793.881511166648</v>
      </c>
      <c r="E56" s="59">
        <f t="shared" si="6"/>
        <v>11321.713819593891</v>
      </c>
      <c r="F56" s="59">
        <f t="shared" si="7"/>
        <v>8472.1676915727567</v>
      </c>
      <c r="G56" s="59">
        <f t="shared" si="8"/>
        <v>3388041.9781865948</v>
      </c>
      <c r="H56" s="60">
        <f t="shared" si="9"/>
        <v>0.57198047857398693</v>
      </c>
      <c r="I56" s="60">
        <f t="shared" si="10"/>
        <v>0.42801952142601307</v>
      </c>
    </row>
    <row r="57" spans="2:9" x14ac:dyDescent="0.25">
      <c r="B57" s="58">
        <f t="shared" si="3"/>
        <v>47</v>
      </c>
      <c r="C57" s="58">
        <f t="shared" si="4"/>
        <v>3388041.9781865948</v>
      </c>
      <c r="D57" s="59">
        <f t="shared" si="5"/>
        <v>19793.881511166648</v>
      </c>
      <c r="E57" s="59">
        <f t="shared" si="6"/>
        <v>11293.473260621984</v>
      </c>
      <c r="F57" s="59">
        <f t="shared" si="7"/>
        <v>8500.408250544664</v>
      </c>
      <c r="G57" s="59">
        <f t="shared" si="8"/>
        <v>3379541.5699360501</v>
      </c>
      <c r="H57" s="60">
        <f t="shared" si="9"/>
        <v>0.57055374683590032</v>
      </c>
      <c r="I57" s="60">
        <f t="shared" si="10"/>
        <v>0.42944625316409968</v>
      </c>
    </row>
    <row r="58" spans="2:9" x14ac:dyDescent="0.25">
      <c r="B58" s="58">
        <f t="shared" si="3"/>
        <v>48</v>
      </c>
      <c r="C58" s="58">
        <f t="shared" si="4"/>
        <v>3379541.5699360501</v>
      </c>
      <c r="D58" s="59">
        <f t="shared" si="5"/>
        <v>19793.881511166648</v>
      </c>
      <c r="E58" s="59">
        <f t="shared" si="6"/>
        <v>11265.138566453501</v>
      </c>
      <c r="F58" s="59">
        <f t="shared" si="7"/>
        <v>8528.7429447131472</v>
      </c>
      <c r="G58" s="59">
        <f t="shared" si="8"/>
        <v>3371012.8269913369</v>
      </c>
      <c r="H58" s="60">
        <f t="shared" si="9"/>
        <v>0.56912225932535332</v>
      </c>
      <c r="I58" s="60">
        <f t="shared" si="10"/>
        <v>0.43087774067464674</v>
      </c>
    </row>
    <row r="59" spans="2:9" x14ac:dyDescent="0.25">
      <c r="B59" s="58">
        <f t="shared" si="3"/>
        <v>49</v>
      </c>
      <c r="C59" s="58">
        <f t="shared" si="4"/>
        <v>3371012.8269913369</v>
      </c>
      <c r="D59" s="59">
        <f t="shared" si="5"/>
        <v>19793.881511166648</v>
      </c>
      <c r="E59" s="59">
        <f t="shared" si="6"/>
        <v>11236.709423304457</v>
      </c>
      <c r="F59" s="59">
        <f t="shared" si="7"/>
        <v>8557.1720878621909</v>
      </c>
      <c r="G59" s="59">
        <f t="shared" si="8"/>
        <v>3362455.6549034747</v>
      </c>
      <c r="H59" s="60">
        <f t="shared" si="9"/>
        <v>0.56768600018977111</v>
      </c>
      <c r="I59" s="60">
        <f t="shared" si="10"/>
        <v>0.43231399981022889</v>
      </c>
    </row>
    <row r="60" spans="2:9" x14ac:dyDescent="0.25">
      <c r="B60" s="58">
        <f t="shared" si="3"/>
        <v>50</v>
      </c>
      <c r="C60" s="58">
        <f t="shared" si="4"/>
        <v>3362455.6549034747</v>
      </c>
      <c r="D60" s="59">
        <f t="shared" si="5"/>
        <v>19793.881511166648</v>
      </c>
      <c r="E60" s="59">
        <f t="shared" si="6"/>
        <v>11208.185516344916</v>
      </c>
      <c r="F60" s="59">
        <f t="shared" si="7"/>
        <v>8585.6959948217318</v>
      </c>
      <c r="G60" s="59">
        <f t="shared" si="8"/>
        <v>3353869.9589086529</v>
      </c>
      <c r="H60" s="60">
        <f t="shared" si="9"/>
        <v>0.56624495352373705</v>
      </c>
      <c r="I60" s="60">
        <f t="shared" si="10"/>
        <v>0.43375504647626295</v>
      </c>
    </row>
    <row r="61" spans="2:9" x14ac:dyDescent="0.25">
      <c r="B61" s="58">
        <f t="shared" si="3"/>
        <v>51</v>
      </c>
      <c r="C61" s="58">
        <f t="shared" si="4"/>
        <v>3353869.9589086529</v>
      </c>
      <c r="D61" s="59">
        <f t="shared" si="5"/>
        <v>19793.881511166648</v>
      </c>
      <c r="E61" s="59">
        <f t="shared" si="6"/>
        <v>11179.56652969551</v>
      </c>
      <c r="F61" s="59">
        <f t="shared" si="7"/>
        <v>8614.3149814711378</v>
      </c>
      <c r="G61" s="59">
        <f t="shared" si="8"/>
        <v>3345255.6439271816</v>
      </c>
      <c r="H61" s="60">
        <f t="shared" si="9"/>
        <v>0.56479910336881611</v>
      </c>
      <c r="I61" s="60">
        <f t="shared" si="10"/>
        <v>0.43520089663118389</v>
      </c>
    </row>
    <row r="62" spans="2:9" x14ac:dyDescent="0.25">
      <c r="B62" s="58">
        <f t="shared" si="3"/>
        <v>52</v>
      </c>
      <c r="C62" s="58">
        <f t="shared" si="4"/>
        <v>3345255.6439271816</v>
      </c>
      <c r="D62" s="59">
        <f t="shared" si="5"/>
        <v>19793.881511166648</v>
      </c>
      <c r="E62" s="59">
        <f t="shared" si="6"/>
        <v>11150.85214642394</v>
      </c>
      <c r="F62" s="59">
        <f t="shared" si="7"/>
        <v>8643.0293647427079</v>
      </c>
      <c r="G62" s="59">
        <f t="shared" si="8"/>
        <v>3336612.6145624388</v>
      </c>
      <c r="H62" s="60">
        <f t="shared" si="9"/>
        <v>0.56334843371337884</v>
      </c>
      <c r="I62" s="60">
        <f t="shared" si="10"/>
        <v>0.43665156628662111</v>
      </c>
    </row>
    <row r="63" spans="2:9" x14ac:dyDescent="0.25">
      <c r="B63" s="58">
        <f t="shared" si="3"/>
        <v>53</v>
      </c>
      <c r="C63" s="58">
        <f t="shared" si="4"/>
        <v>3336612.6145624388</v>
      </c>
      <c r="D63" s="59">
        <f t="shared" si="5"/>
        <v>19793.881511166648</v>
      </c>
      <c r="E63" s="59">
        <f t="shared" si="6"/>
        <v>11122.042048541463</v>
      </c>
      <c r="F63" s="59">
        <f t="shared" si="7"/>
        <v>8671.8394626251848</v>
      </c>
      <c r="G63" s="59">
        <f t="shared" si="8"/>
        <v>3327940.7750998135</v>
      </c>
      <c r="H63" s="60">
        <f t="shared" si="9"/>
        <v>0.56189292849242345</v>
      </c>
      <c r="I63" s="60">
        <f t="shared" si="10"/>
        <v>0.43810707150757661</v>
      </c>
    </row>
    <row r="64" spans="2:9" x14ac:dyDescent="0.25">
      <c r="B64" s="58">
        <f t="shared" si="3"/>
        <v>54</v>
      </c>
      <c r="C64" s="58">
        <f t="shared" si="4"/>
        <v>3327940.7750998135</v>
      </c>
      <c r="D64" s="59">
        <f t="shared" si="5"/>
        <v>19793.881511166648</v>
      </c>
      <c r="E64" s="59">
        <f t="shared" si="6"/>
        <v>11093.135916999379</v>
      </c>
      <c r="F64" s="59">
        <f t="shared" si="7"/>
        <v>8700.7455941672688</v>
      </c>
      <c r="G64" s="59">
        <f t="shared" si="8"/>
        <v>3319240.0295056463</v>
      </c>
      <c r="H64" s="60">
        <f t="shared" si="9"/>
        <v>0.56043257158739812</v>
      </c>
      <c r="I64" s="60">
        <f t="shared" si="10"/>
        <v>0.43956742841260182</v>
      </c>
    </row>
    <row r="65" spans="2:9" x14ac:dyDescent="0.25">
      <c r="B65" s="58">
        <f t="shared" si="3"/>
        <v>55</v>
      </c>
      <c r="C65" s="58">
        <f t="shared" si="4"/>
        <v>3319240.0295056463</v>
      </c>
      <c r="D65" s="59">
        <f t="shared" si="5"/>
        <v>19793.881511166648</v>
      </c>
      <c r="E65" s="59">
        <f t="shared" si="6"/>
        <v>11064.133431685488</v>
      </c>
      <c r="F65" s="59">
        <f t="shared" si="7"/>
        <v>8729.7480794811599</v>
      </c>
      <c r="G65" s="59">
        <f t="shared" si="8"/>
        <v>3310510.2814261653</v>
      </c>
      <c r="H65" s="60">
        <f t="shared" si="9"/>
        <v>0.55896734682602278</v>
      </c>
      <c r="I65" s="60">
        <f t="shared" si="10"/>
        <v>0.44103265317397722</v>
      </c>
    </row>
    <row r="66" spans="2:9" x14ac:dyDescent="0.25">
      <c r="B66" s="58">
        <f t="shared" si="3"/>
        <v>56</v>
      </c>
      <c r="C66" s="58">
        <f t="shared" si="4"/>
        <v>3310510.2814261653</v>
      </c>
      <c r="D66" s="59">
        <f t="shared" si="5"/>
        <v>19793.881511166648</v>
      </c>
      <c r="E66" s="59">
        <f t="shared" si="6"/>
        <v>11035.034271420551</v>
      </c>
      <c r="F66" s="59">
        <f t="shared" si="7"/>
        <v>8758.8472397460973</v>
      </c>
      <c r="G66" s="59">
        <f t="shared" si="8"/>
        <v>3301751.434186419</v>
      </c>
      <c r="H66" s="60">
        <f t="shared" si="9"/>
        <v>0.55749723798210948</v>
      </c>
      <c r="I66" s="60">
        <f t="shared" si="10"/>
        <v>0.44250276201789046</v>
      </c>
    </row>
    <row r="67" spans="2:9" x14ac:dyDescent="0.25">
      <c r="B67" s="58">
        <f t="shared" si="3"/>
        <v>57</v>
      </c>
      <c r="C67" s="58">
        <f t="shared" si="4"/>
        <v>3301751.434186419</v>
      </c>
      <c r="D67" s="59">
        <f t="shared" si="5"/>
        <v>19793.881511166648</v>
      </c>
      <c r="E67" s="59">
        <f t="shared" si="6"/>
        <v>11005.838113954731</v>
      </c>
      <c r="F67" s="59">
        <f t="shared" si="7"/>
        <v>8788.0433972119172</v>
      </c>
      <c r="G67" s="59">
        <f t="shared" si="8"/>
        <v>3292963.3907892071</v>
      </c>
      <c r="H67" s="60">
        <f t="shared" si="9"/>
        <v>0.55602222877538321</v>
      </c>
      <c r="I67" s="60">
        <f t="shared" si="10"/>
        <v>0.44397777122461674</v>
      </c>
    </row>
    <row r="68" spans="2:9" x14ac:dyDescent="0.25">
      <c r="B68" s="58">
        <f t="shared" si="3"/>
        <v>58</v>
      </c>
      <c r="C68" s="58">
        <f t="shared" si="4"/>
        <v>3292963.3907892071</v>
      </c>
      <c r="D68" s="59">
        <f t="shared" si="5"/>
        <v>19793.881511166648</v>
      </c>
      <c r="E68" s="59">
        <f t="shared" si="6"/>
        <v>10976.544635964025</v>
      </c>
      <c r="F68" s="59">
        <f t="shared" si="7"/>
        <v>8817.3368752026236</v>
      </c>
      <c r="G68" s="59">
        <f t="shared" si="8"/>
        <v>3284146.0539140045</v>
      </c>
      <c r="H68" s="60">
        <f t="shared" si="9"/>
        <v>0.55454230287130124</v>
      </c>
      <c r="I68" s="60">
        <f t="shared" si="10"/>
        <v>0.44545769712869882</v>
      </c>
    </row>
    <row r="69" spans="2:9" x14ac:dyDescent="0.25">
      <c r="B69" s="58">
        <f t="shared" si="3"/>
        <v>59</v>
      </c>
      <c r="C69" s="58">
        <f t="shared" si="4"/>
        <v>3284146.0539140045</v>
      </c>
      <c r="D69" s="59">
        <f t="shared" si="5"/>
        <v>19793.881511166648</v>
      </c>
      <c r="E69" s="59">
        <f t="shared" si="6"/>
        <v>10947.153513046682</v>
      </c>
      <c r="F69" s="59">
        <f t="shared" si="7"/>
        <v>8846.7279981199663</v>
      </c>
      <c r="G69" s="59">
        <f t="shared" si="8"/>
        <v>3275299.3259158847</v>
      </c>
      <c r="H69" s="60">
        <f t="shared" si="9"/>
        <v>0.55305744388087219</v>
      </c>
      <c r="I69" s="60">
        <f t="shared" si="10"/>
        <v>0.44694255611912781</v>
      </c>
    </row>
    <row r="70" spans="2:9" x14ac:dyDescent="0.25">
      <c r="B70" s="58">
        <f t="shared" si="3"/>
        <v>60</v>
      </c>
      <c r="C70" s="58">
        <f t="shared" si="4"/>
        <v>3275299.3259158847</v>
      </c>
      <c r="D70" s="59">
        <f t="shared" si="5"/>
        <v>19793.881511166648</v>
      </c>
      <c r="E70" s="59">
        <f t="shared" si="6"/>
        <v>10917.664419719616</v>
      </c>
      <c r="F70" s="59">
        <f t="shared" si="7"/>
        <v>8876.2170914470316</v>
      </c>
      <c r="G70" s="59">
        <f t="shared" si="8"/>
        <v>3266423.1088244375</v>
      </c>
      <c r="H70" s="60">
        <f t="shared" si="9"/>
        <v>0.55156763536047515</v>
      </c>
      <c r="I70" s="60">
        <f t="shared" si="10"/>
        <v>0.44843236463952485</v>
      </c>
    </row>
    <row r="71" spans="2:9" x14ac:dyDescent="0.25">
      <c r="B71" s="58">
        <f t="shared" si="3"/>
        <v>61</v>
      </c>
      <c r="C71" s="58">
        <f t="shared" si="4"/>
        <v>3266423.1088244375</v>
      </c>
      <c r="D71" s="59">
        <f t="shared" si="5"/>
        <v>19793.881511166648</v>
      </c>
      <c r="E71" s="59">
        <f t="shared" si="6"/>
        <v>10888.077029414791</v>
      </c>
      <c r="F71" s="59">
        <f t="shared" si="7"/>
        <v>8905.8044817518567</v>
      </c>
      <c r="G71" s="59">
        <f t="shared" si="8"/>
        <v>3257517.3043426857</v>
      </c>
      <c r="H71" s="60">
        <f t="shared" si="9"/>
        <v>0.55007286081167661</v>
      </c>
      <c r="I71" s="60">
        <f t="shared" si="10"/>
        <v>0.44992713918832333</v>
      </c>
    </row>
    <row r="72" spans="2:9" x14ac:dyDescent="0.25">
      <c r="B72" s="58">
        <f t="shared" si="3"/>
        <v>62</v>
      </c>
      <c r="C72" s="58">
        <f t="shared" si="4"/>
        <v>3257517.3043426857</v>
      </c>
      <c r="D72" s="59">
        <f t="shared" si="5"/>
        <v>19793.881511166648</v>
      </c>
      <c r="E72" s="59">
        <f t="shared" si="6"/>
        <v>10858.391014475619</v>
      </c>
      <c r="F72" s="59">
        <f t="shared" si="7"/>
        <v>8935.490496691029</v>
      </c>
      <c r="G72" s="59">
        <f t="shared" si="8"/>
        <v>3248581.8138459949</v>
      </c>
      <c r="H72" s="60">
        <f t="shared" si="9"/>
        <v>0.54857310368104895</v>
      </c>
      <c r="I72" s="60">
        <f t="shared" si="10"/>
        <v>0.45142689631895105</v>
      </c>
    </row>
    <row r="73" spans="2:9" x14ac:dyDescent="0.25">
      <c r="B73" s="58">
        <f t="shared" si="3"/>
        <v>63</v>
      </c>
      <c r="C73" s="58">
        <f t="shared" si="4"/>
        <v>3248581.8138459949</v>
      </c>
      <c r="D73" s="59">
        <f t="shared" si="5"/>
        <v>19793.881511166648</v>
      </c>
      <c r="E73" s="59">
        <f t="shared" si="6"/>
        <v>10828.606046153316</v>
      </c>
      <c r="F73" s="59">
        <f t="shared" si="7"/>
        <v>8965.275465013332</v>
      </c>
      <c r="G73" s="59">
        <f t="shared" si="8"/>
        <v>3239616.5383809814</v>
      </c>
      <c r="H73" s="60">
        <f t="shared" si="9"/>
        <v>0.54706834735998577</v>
      </c>
      <c r="I73" s="60">
        <f t="shared" si="10"/>
        <v>0.45293165264001423</v>
      </c>
    </row>
    <row r="74" spans="2:9" x14ac:dyDescent="0.25">
      <c r="B74" s="58">
        <f t="shared" si="3"/>
        <v>64</v>
      </c>
      <c r="C74" s="58">
        <f t="shared" si="4"/>
        <v>3239616.5383809814</v>
      </c>
      <c r="D74" s="59">
        <f t="shared" si="5"/>
        <v>19793.881511166648</v>
      </c>
      <c r="E74" s="59">
        <f t="shared" si="6"/>
        <v>10798.721794603272</v>
      </c>
      <c r="F74" s="59">
        <f t="shared" si="7"/>
        <v>8995.1597165633757</v>
      </c>
      <c r="G74" s="59">
        <f t="shared" si="8"/>
        <v>3230621.3786644181</v>
      </c>
      <c r="H74" s="60">
        <f t="shared" si="9"/>
        <v>0.54555857518451911</v>
      </c>
      <c r="I74" s="60">
        <f t="shared" si="10"/>
        <v>0.45444142481548089</v>
      </c>
    </row>
    <row r="75" spans="2:9" x14ac:dyDescent="0.25">
      <c r="B75" s="58">
        <f t="shared" si="3"/>
        <v>65</v>
      </c>
      <c r="C75" s="58">
        <f t="shared" si="4"/>
        <v>3230621.3786644181</v>
      </c>
      <c r="D75" s="59">
        <f t="shared" si="5"/>
        <v>19793.881511166648</v>
      </c>
      <c r="E75" s="59">
        <f t="shared" si="6"/>
        <v>10768.737928881394</v>
      </c>
      <c r="F75" s="59">
        <f t="shared" si="7"/>
        <v>9025.1435822852545</v>
      </c>
      <c r="G75" s="59">
        <f t="shared" si="8"/>
        <v>3221596.2350821327</v>
      </c>
      <c r="H75" s="60">
        <f t="shared" si="9"/>
        <v>0.54404377043513408</v>
      </c>
      <c r="I75" s="60">
        <f t="shared" si="10"/>
        <v>0.45595622956486587</v>
      </c>
    </row>
    <row r="76" spans="2:9" x14ac:dyDescent="0.25">
      <c r="B76" s="58">
        <f t="shared" si="3"/>
        <v>66</v>
      </c>
      <c r="C76" s="58">
        <f t="shared" si="4"/>
        <v>3221596.2350821327</v>
      </c>
      <c r="D76" s="59">
        <f t="shared" si="5"/>
        <v>19793.881511166648</v>
      </c>
      <c r="E76" s="59">
        <f t="shared" si="6"/>
        <v>10738.654116940443</v>
      </c>
      <c r="F76" s="59">
        <f t="shared" si="7"/>
        <v>9055.2273942262054</v>
      </c>
      <c r="G76" s="59">
        <f t="shared" si="8"/>
        <v>3212541.0076879067</v>
      </c>
      <c r="H76" s="60">
        <f t="shared" si="9"/>
        <v>0.54252391633658459</v>
      </c>
      <c r="I76" s="60">
        <f t="shared" si="10"/>
        <v>0.45747608366341541</v>
      </c>
    </row>
    <row r="77" spans="2:9" x14ac:dyDescent="0.25">
      <c r="B77" s="58">
        <f t="shared" ref="B77:B140" si="11">B76+1</f>
        <v>67</v>
      </c>
      <c r="C77" s="58">
        <f t="shared" ref="C77:C140" si="12">G76</f>
        <v>3212541.0076879067</v>
      </c>
      <c r="D77" s="59">
        <f t="shared" ref="D77:D140" si="13">$I$7</f>
        <v>19793.881511166648</v>
      </c>
      <c r="E77" s="59">
        <f t="shared" ref="E77:E140" si="14">C77*$I$6</f>
        <v>10708.470025626357</v>
      </c>
      <c r="F77" s="59">
        <f t="shared" ref="F77:F140" si="15">D77-E77</f>
        <v>9085.4114855402913</v>
      </c>
      <c r="G77" s="59">
        <f t="shared" ref="G77:G140" si="16">C77-F77</f>
        <v>3203455.5962023665</v>
      </c>
      <c r="H77" s="60">
        <f t="shared" ref="H77:H140" si="17">E77/D77</f>
        <v>0.54099899605770663</v>
      </c>
      <c r="I77" s="60">
        <f t="shared" ref="I77:I140" si="18">F77/D77</f>
        <v>0.45900100394229343</v>
      </c>
    </row>
    <row r="78" spans="2:9" x14ac:dyDescent="0.25">
      <c r="B78" s="58">
        <f t="shared" si="11"/>
        <v>68</v>
      </c>
      <c r="C78" s="58">
        <f t="shared" si="12"/>
        <v>3203455.5962023665</v>
      </c>
      <c r="D78" s="59">
        <f t="shared" si="13"/>
        <v>19793.881511166648</v>
      </c>
      <c r="E78" s="59">
        <f t="shared" si="14"/>
        <v>10678.185320674556</v>
      </c>
      <c r="F78" s="59">
        <f t="shared" si="15"/>
        <v>9115.6961904920918</v>
      </c>
      <c r="G78" s="59">
        <f t="shared" si="16"/>
        <v>3194339.9000118743</v>
      </c>
      <c r="H78" s="60">
        <f t="shared" si="17"/>
        <v>0.53946899271123228</v>
      </c>
      <c r="I78" s="60">
        <f t="shared" si="18"/>
        <v>0.46053100728876772</v>
      </c>
    </row>
    <row r="79" spans="2:9" x14ac:dyDescent="0.25">
      <c r="B79" s="58">
        <f t="shared" si="11"/>
        <v>69</v>
      </c>
      <c r="C79" s="58">
        <f t="shared" si="12"/>
        <v>3194339.9000118743</v>
      </c>
      <c r="D79" s="59">
        <f t="shared" si="13"/>
        <v>19793.881511166648</v>
      </c>
      <c r="E79" s="59">
        <f t="shared" si="14"/>
        <v>10647.799666706249</v>
      </c>
      <c r="F79" s="59">
        <f t="shared" si="15"/>
        <v>9146.0818444603992</v>
      </c>
      <c r="G79" s="59">
        <f t="shared" si="16"/>
        <v>3185193.8181674141</v>
      </c>
      <c r="H79" s="60">
        <f t="shared" si="17"/>
        <v>0.53793388935360309</v>
      </c>
      <c r="I79" s="60">
        <f t="shared" si="18"/>
        <v>0.46206611064639697</v>
      </c>
    </row>
    <row r="80" spans="2:9" x14ac:dyDescent="0.25">
      <c r="B80" s="58">
        <f t="shared" si="11"/>
        <v>70</v>
      </c>
      <c r="C80" s="58">
        <f t="shared" si="12"/>
        <v>3185193.8181674141</v>
      </c>
      <c r="D80" s="59">
        <f t="shared" si="13"/>
        <v>19793.881511166648</v>
      </c>
      <c r="E80" s="59">
        <f t="shared" si="14"/>
        <v>10617.312727224715</v>
      </c>
      <c r="F80" s="59">
        <f t="shared" si="15"/>
        <v>9176.5687839419334</v>
      </c>
      <c r="G80" s="59">
        <f t="shared" si="16"/>
        <v>3176017.2493834719</v>
      </c>
      <c r="H80" s="60">
        <f t="shared" si="17"/>
        <v>0.5363936689847818</v>
      </c>
      <c r="I80" s="60">
        <f t="shared" si="18"/>
        <v>0.46360633101521825</v>
      </c>
    </row>
    <row r="81" spans="2:9" x14ac:dyDescent="0.25">
      <c r="B81" s="58">
        <f t="shared" si="11"/>
        <v>71</v>
      </c>
      <c r="C81" s="58">
        <f t="shared" si="12"/>
        <v>3176017.2493834719</v>
      </c>
      <c r="D81" s="59">
        <f t="shared" si="13"/>
        <v>19793.881511166648</v>
      </c>
      <c r="E81" s="59">
        <f t="shared" si="14"/>
        <v>10586.724164611574</v>
      </c>
      <c r="F81" s="59">
        <f t="shared" si="15"/>
        <v>9207.1573465550737</v>
      </c>
      <c r="G81" s="59">
        <f t="shared" si="16"/>
        <v>3166810.0920369169</v>
      </c>
      <c r="H81" s="60">
        <f t="shared" si="17"/>
        <v>0.53484831454806436</v>
      </c>
      <c r="I81" s="60">
        <f t="shared" si="18"/>
        <v>0.46515168545193564</v>
      </c>
    </row>
    <row r="82" spans="2:9" x14ac:dyDescent="0.25">
      <c r="B82" s="58">
        <f t="shared" si="11"/>
        <v>72</v>
      </c>
      <c r="C82" s="58">
        <f t="shared" si="12"/>
        <v>3166810.0920369169</v>
      </c>
      <c r="D82" s="59">
        <f t="shared" si="13"/>
        <v>19793.881511166648</v>
      </c>
      <c r="E82" s="59">
        <f t="shared" si="14"/>
        <v>10556.033640123056</v>
      </c>
      <c r="F82" s="59">
        <f t="shared" si="15"/>
        <v>9237.847871043592</v>
      </c>
      <c r="G82" s="59">
        <f t="shared" si="16"/>
        <v>3157572.2441658732</v>
      </c>
      <c r="H82" s="60">
        <f t="shared" si="17"/>
        <v>0.53329780892989109</v>
      </c>
      <c r="I82" s="60">
        <f t="shared" si="18"/>
        <v>0.46670219107010885</v>
      </c>
    </row>
    <row r="83" spans="2:9" x14ac:dyDescent="0.25">
      <c r="B83" s="58">
        <f t="shared" si="11"/>
        <v>73</v>
      </c>
      <c r="C83" s="58">
        <f t="shared" si="12"/>
        <v>3157572.2441658732</v>
      </c>
      <c r="D83" s="59">
        <f t="shared" si="13"/>
        <v>19793.881511166648</v>
      </c>
      <c r="E83" s="59">
        <f t="shared" si="14"/>
        <v>10525.240813886245</v>
      </c>
      <c r="F83" s="59">
        <f t="shared" si="15"/>
        <v>9268.6406972804034</v>
      </c>
      <c r="G83" s="59">
        <f t="shared" si="16"/>
        <v>3148303.6034685927</v>
      </c>
      <c r="H83" s="60">
        <f t="shared" si="17"/>
        <v>0.5317421349596575</v>
      </c>
      <c r="I83" s="60">
        <f t="shared" si="18"/>
        <v>0.4682578650403425</v>
      </c>
    </row>
    <row r="84" spans="2:9" x14ac:dyDescent="0.25">
      <c r="B84" s="58">
        <f t="shared" si="11"/>
        <v>74</v>
      </c>
      <c r="C84" s="58">
        <f t="shared" si="12"/>
        <v>3148303.6034685927</v>
      </c>
      <c r="D84" s="59">
        <f t="shared" si="13"/>
        <v>19793.881511166648</v>
      </c>
      <c r="E84" s="59">
        <f t="shared" si="14"/>
        <v>10494.34534489531</v>
      </c>
      <c r="F84" s="59">
        <f t="shared" si="15"/>
        <v>9299.5361662713385</v>
      </c>
      <c r="G84" s="59">
        <f t="shared" si="16"/>
        <v>3139004.0673023215</v>
      </c>
      <c r="H84" s="60">
        <f t="shared" si="17"/>
        <v>0.53018127540952298</v>
      </c>
      <c r="I84" s="60">
        <f t="shared" si="18"/>
        <v>0.46981872459047702</v>
      </c>
    </row>
    <row r="85" spans="2:9" x14ac:dyDescent="0.25">
      <c r="B85" s="58">
        <f t="shared" si="11"/>
        <v>75</v>
      </c>
      <c r="C85" s="58">
        <f t="shared" si="12"/>
        <v>3139004.0673023215</v>
      </c>
      <c r="D85" s="59">
        <f t="shared" si="13"/>
        <v>19793.881511166648</v>
      </c>
      <c r="E85" s="59">
        <f t="shared" si="14"/>
        <v>10463.346891007739</v>
      </c>
      <c r="F85" s="59">
        <f t="shared" si="15"/>
        <v>9330.5346201589091</v>
      </c>
      <c r="G85" s="59">
        <f t="shared" si="16"/>
        <v>3129673.5326821627</v>
      </c>
      <c r="H85" s="60">
        <f t="shared" si="17"/>
        <v>0.52861521299422143</v>
      </c>
      <c r="I85" s="60">
        <f t="shared" si="18"/>
        <v>0.47138478700577857</v>
      </c>
    </row>
    <row r="86" spans="2:9" x14ac:dyDescent="0.25">
      <c r="B86" s="58">
        <f t="shared" si="11"/>
        <v>76</v>
      </c>
      <c r="C86" s="58">
        <f t="shared" si="12"/>
        <v>3129673.5326821627</v>
      </c>
      <c r="D86" s="59">
        <f t="shared" si="13"/>
        <v>19793.881511166648</v>
      </c>
      <c r="E86" s="59">
        <f t="shared" si="14"/>
        <v>10432.245108940542</v>
      </c>
      <c r="F86" s="59">
        <f t="shared" si="15"/>
        <v>9361.6364022261059</v>
      </c>
      <c r="G86" s="59">
        <f t="shared" si="16"/>
        <v>3120311.8962799367</v>
      </c>
      <c r="H86" s="60">
        <f t="shared" si="17"/>
        <v>0.52704393037086883</v>
      </c>
      <c r="I86" s="60">
        <f t="shared" si="18"/>
        <v>0.47295606962913123</v>
      </c>
    </row>
    <row r="87" spans="2:9" x14ac:dyDescent="0.25">
      <c r="B87" s="58">
        <f t="shared" si="11"/>
        <v>77</v>
      </c>
      <c r="C87" s="58">
        <f t="shared" si="12"/>
        <v>3120311.8962799367</v>
      </c>
      <c r="D87" s="59">
        <f t="shared" si="13"/>
        <v>19793.881511166648</v>
      </c>
      <c r="E87" s="59">
        <f t="shared" si="14"/>
        <v>10401.039654266457</v>
      </c>
      <c r="F87" s="59">
        <f t="shared" si="15"/>
        <v>9392.8418569001915</v>
      </c>
      <c r="G87" s="59">
        <f t="shared" si="16"/>
        <v>3110919.0544230365</v>
      </c>
      <c r="H87" s="60">
        <f t="shared" si="17"/>
        <v>0.52546741013877174</v>
      </c>
      <c r="I87" s="60">
        <f t="shared" si="18"/>
        <v>0.4745325898612282</v>
      </c>
    </row>
    <row r="88" spans="2:9" x14ac:dyDescent="0.25">
      <c r="B88" s="58">
        <f t="shared" si="11"/>
        <v>78</v>
      </c>
      <c r="C88" s="58">
        <f t="shared" si="12"/>
        <v>3110919.0544230365</v>
      </c>
      <c r="D88" s="59">
        <f t="shared" si="13"/>
        <v>19793.881511166648</v>
      </c>
      <c r="E88" s="59">
        <f t="shared" si="14"/>
        <v>10369.730181410123</v>
      </c>
      <c r="F88" s="59">
        <f t="shared" si="15"/>
        <v>9424.1513297565252</v>
      </c>
      <c r="G88" s="59">
        <f t="shared" si="16"/>
        <v>3101494.9030932798</v>
      </c>
      <c r="H88" s="60">
        <f t="shared" si="17"/>
        <v>0.52388563483923434</v>
      </c>
      <c r="I88" s="60">
        <f t="shared" si="18"/>
        <v>0.47611436516076566</v>
      </c>
    </row>
    <row r="89" spans="2:9" x14ac:dyDescent="0.25">
      <c r="B89" s="58">
        <f t="shared" si="11"/>
        <v>79</v>
      </c>
      <c r="C89" s="58">
        <f t="shared" si="12"/>
        <v>3101494.9030932798</v>
      </c>
      <c r="D89" s="59">
        <f t="shared" si="13"/>
        <v>19793.881511166648</v>
      </c>
      <c r="E89" s="59">
        <f t="shared" si="14"/>
        <v>10338.316343644266</v>
      </c>
      <c r="F89" s="59">
        <f t="shared" si="15"/>
        <v>9455.5651675223817</v>
      </c>
      <c r="G89" s="59">
        <f t="shared" si="16"/>
        <v>3092039.3379257573</v>
      </c>
      <c r="H89" s="60">
        <f t="shared" si="17"/>
        <v>0.52229858695536502</v>
      </c>
      <c r="I89" s="60">
        <f t="shared" si="18"/>
        <v>0.47770141304463493</v>
      </c>
    </row>
    <row r="90" spans="2:9" x14ac:dyDescent="0.25">
      <c r="B90" s="58">
        <f t="shared" si="11"/>
        <v>80</v>
      </c>
      <c r="C90" s="58">
        <f t="shared" si="12"/>
        <v>3092039.3379257573</v>
      </c>
      <c r="D90" s="59">
        <f t="shared" si="13"/>
        <v>19793.881511166648</v>
      </c>
      <c r="E90" s="59">
        <f t="shared" si="14"/>
        <v>10306.797793085858</v>
      </c>
      <c r="F90" s="59">
        <f t="shared" si="15"/>
        <v>9487.0837180807903</v>
      </c>
      <c r="G90" s="59">
        <f t="shared" si="16"/>
        <v>3082552.2542076763</v>
      </c>
      <c r="H90" s="60">
        <f t="shared" si="17"/>
        <v>0.52070624891188289</v>
      </c>
      <c r="I90" s="60">
        <f t="shared" si="18"/>
        <v>0.47929375108811706</v>
      </c>
    </row>
    <row r="91" spans="2:9" x14ac:dyDescent="0.25">
      <c r="B91" s="58">
        <f t="shared" si="11"/>
        <v>81</v>
      </c>
      <c r="C91" s="58">
        <f t="shared" si="12"/>
        <v>3082552.2542076763</v>
      </c>
      <c r="D91" s="59">
        <f t="shared" si="13"/>
        <v>19793.881511166648</v>
      </c>
      <c r="E91" s="59">
        <f t="shared" si="14"/>
        <v>10275.174180692255</v>
      </c>
      <c r="F91" s="59">
        <f t="shared" si="15"/>
        <v>9518.7073304743935</v>
      </c>
      <c r="G91" s="59">
        <f t="shared" si="16"/>
        <v>3073033.5468772021</v>
      </c>
      <c r="H91" s="60">
        <f t="shared" si="17"/>
        <v>0.51910860307492246</v>
      </c>
      <c r="I91" s="60">
        <f t="shared" si="18"/>
        <v>0.48089139692507749</v>
      </c>
    </row>
    <row r="92" spans="2:9" x14ac:dyDescent="0.25">
      <c r="B92" s="58">
        <f t="shared" si="11"/>
        <v>82</v>
      </c>
      <c r="C92" s="58">
        <f t="shared" si="12"/>
        <v>3073033.5468772021</v>
      </c>
      <c r="D92" s="59">
        <f t="shared" si="13"/>
        <v>19793.881511166648</v>
      </c>
      <c r="E92" s="59">
        <f t="shared" si="14"/>
        <v>10243.445156257341</v>
      </c>
      <c r="F92" s="59">
        <f t="shared" si="15"/>
        <v>9550.4363549093068</v>
      </c>
      <c r="G92" s="59">
        <f t="shared" si="16"/>
        <v>3063483.110522293</v>
      </c>
      <c r="H92" s="60">
        <f t="shared" si="17"/>
        <v>0.51750563175183895</v>
      </c>
      <c r="I92" s="60">
        <f t="shared" si="18"/>
        <v>0.48249436824816105</v>
      </c>
    </row>
    <row r="93" spans="2:9" x14ac:dyDescent="0.25">
      <c r="B93" s="58">
        <f t="shared" si="11"/>
        <v>83</v>
      </c>
      <c r="C93" s="58">
        <f t="shared" si="12"/>
        <v>3063483.110522293</v>
      </c>
      <c r="D93" s="59">
        <f t="shared" si="13"/>
        <v>19793.881511166648</v>
      </c>
      <c r="E93" s="59">
        <f t="shared" si="14"/>
        <v>10211.610368407644</v>
      </c>
      <c r="F93" s="59">
        <f t="shared" si="15"/>
        <v>9582.2711427590039</v>
      </c>
      <c r="G93" s="59">
        <f t="shared" si="16"/>
        <v>3053900.8393795341</v>
      </c>
      <c r="H93" s="60">
        <f t="shared" si="17"/>
        <v>0.51589731719101184</v>
      </c>
      <c r="I93" s="60">
        <f t="shared" si="18"/>
        <v>0.48410268280898822</v>
      </c>
    </row>
    <row r="94" spans="2:9" x14ac:dyDescent="0.25">
      <c r="B94" s="58">
        <f t="shared" si="11"/>
        <v>84</v>
      </c>
      <c r="C94" s="58">
        <f t="shared" si="12"/>
        <v>3053900.8393795341</v>
      </c>
      <c r="D94" s="59">
        <f t="shared" si="13"/>
        <v>19793.881511166648</v>
      </c>
      <c r="E94" s="59">
        <f t="shared" si="14"/>
        <v>10179.669464598448</v>
      </c>
      <c r="F94" s="59">
        <f t="shared" si="15"/>
        <v>9614.2120465682001</v>
      </c>
      <c r="G94" s="59">
        <f t="shared" si="16"/>
        <v>3044286.6273329658</v>
      </c>
      <c r="H94" s="60">
        <f t="shared" si="17"/>
        <v>0.51428364158164852</v>
      </c>
      <c r="I94" s="60">
        <f t="shared" si="18"/>
        <v>0.48571635841835148</v>
      </c>
    </row>
    <row r="95" spans="2:9" x14ac:dyDescent="0.25">
      <c r="B95" s="58">
        <f t="shared" si="11"/>
        <v>85</v>
      </c>
      <c r="C95" s="58">
        <f t="shared" si="12"/>
        <v>3044286.6273329658</v>
      </c>
      <c r="D95" s="59">
        <f t="shared" si="13"/>
        <v>19793.881511166648</v>
      </c>
      <c r="E95" s="59">
        <f t="shared" si="14"/>
        <v>10147.622091109886</v>
      </c>
      <c r="F95" s="59">
        <f t="shared" si="15"/>
        <v>9646.2594200567619</v>
      </c>
      <c r="G95" s="59">
        <f t="shared" si="16"/>
        <v>3034640.367912909</v>
      </c>
      <c r="H95" s="60">
        <f t="shared" si="17"/>
        <v>0.51266458705358731</v>
      </c>
      <c r="I95" s="60">
        <f t="shared" si="18"/>
        <v>0.48733541294641269</v>
      </c>
    </row>
    <row r="96" spans="2:9" x14ac:dyDescent="0.25">
      <c r="B96" s="58">
        <f t="shared" si="11"/>
        <v>86</v>
      </c>
      <c r="C96" s="58">
        <f t="shared" si="12"/>
        <v>3034640.367912909</v>
      </c>
      <c r="D96" s="59">
        <f t="shared" si="13"/>
        <v>19793.881511166648</v>
      </c>
      <c r="E96" s="59">
        <f t="shared" si="14"/>
        <v>10115.467893043031</v>
      </c>
      <c r="F96" s="59">
        <f t="shared" si="15"/>
        <v>9678.4136181236172</v>
      </c>
      <c r="G96" s="59">
        <f t="shared" si="16"/>
        <v>3024961.9542947854</v>
      </c>
      <c r="H96" s="60">
        <f t="shared" si="17"/>
        <v>0.51104013567709927</v>
      </c>
      <c r="I96" s="60">
        <f t="shared" si="18"/>
        <v>0.48895986432290073</v>
      </c>
    </row>
    <row r="97" spans="2:9" x14ac:dyDescent="0.25">
      <c r="B97" s="58">
        <f t="shared" si="11"/>
        <v>87</v>
      </c>
      <c r="C97" s="58">
        <f t="shared" si="12"/>
        <v>3024961.9542947854</v>
      </c>
      <c r="D97" s="59">
        <f t="shared" si="13"/>
        <v>19793.881511166648</v>
      </c>
      <c r="E97" s="59">
        <f t="shared" si="14"/>
        <v>10083.206514315953</v>
      </c>
      <c r="F97" s="59">
        <f t="shared" si="15"/>
        <v>9710.6749968506956</v>
      </c>
      <c r="G97" s="59">
        <f t="shared" si="16"/>
        <v>3015251.2792979348</v>
      </c>
      <c r="H97" s="60">
        <f t="shared" si="17"/>
        <v>0.50941026946268964</v>
      </c>
      <c r="I97" s="60">
        <f t="shared" si="18"/>
        <v>0.49058973053731036</v>
      </c>
    </row>
    <row r="98" spans="2:9" x14ac:dyDescent="0.25">
      <c r="B98" s="58">
        <f t="shared" si="11"/>
        <v>88</v>
      </c>
      <c r="C98" s="58">
        <f t="shared" si="12"/>
        <v>3015251.2792979348</v>
      </c>
      <c r="D98" s="59">
        <f t="shared" si="13"/>
        <v>19793.881511166648</v>
      </c>
      <c r="E98" s="59">
        <f t="shared" si="14"/>
        <v>10050.837597659784</v>
      </c>
      <c r="F98" s="59">
        <f t="shared" si="15"/>
        <v>9743.0439135068646</v>
      </c>
      <c r="G98" s="59">
        <f t="shared" si="16"/>
        <v>3005508.2353844279</v>
      </c>
      <c r="H98" s="60">
        <f t="shared" si="17"/>
        <v>0.50777497036089858</v>
      </c>
      <c r="I98" s="60">
        <f t="shared" si="18"/>
        <v>0.49222502963910142</v>
      </c>
    </row>
    <row r="99" spans="2:9" x14ac:dyDescent="0.25">
      <c r="B99" s="58">
        <f t="shared" si="11"/>
        <v>89</v>
      </c>
      <c r="C99" s="58">
        <f t="shared" si="12"/>
        <v>3005508.2353844279</v>
      </c>
      <c r="D99" s="59">
        <f t="shared" si="13"/>
        <v>19793.881511166648</v>
      </c>
      <c r="E99" s="59">
        <f t="shared" si="14"/>
        <v>10018.360784614761</v>
      </c>
      <c r="F99" s="59">
        <f t="shared" si="15"/>
        <v>9775.5207265518875</v>
      </c>
      <c r="G99" s="59">
        <f t="shared" si="16"/>
        <v>2995732.7146578762</v>
      </c>
      <c r="H99" s="60">
        <f t="shared" si="17"/>
        <v>0.50613422026210164</v>
      </c>
      <c r="I99" s="60">
        <f t="shared" si="18"/>
        <v>0.49386577973789841</v>
      </c>
    </row>
    <row r="100" spans="2:9" x14ac:dyDescent="0.25">
      <c r="B100" s="58">
        <f t="shared" si="11"/>
        <v>90</v>
      </c>
      <c r="C100" s="58">
        <f t="shared" si="12"/>
        <v>2995732.7146578762</v>
      </c>
      <c r="D100" s="59">
        <f t="shared" si="13"/>
        <v>19793.881511166648</v>
      </c>
      <c r="E100" s="59">
        <f t="shared" si="14"/>
        <v>9985.7757155262552</v>
      </c>
      <c r="F100" s="59">
        <f t="shared" si="15"/>
        <v>9808.1057956403929</v>
      </c>
      <c r="G100" s="59">
        <f t="shared" si="16"/>
        <v>2985924.6088622357</v>
      </c>
      <c r="H100" s="60">
        <f t="shared" si="17"/>
        <v>0.50448800099630864</v>
      </c>
      <c r="I100" s="60">
        <f t="shared" si="18"/>
        <v>0.49551199900369136</v>
      </c>
    </row>
    <row r="101" spans="2:9" x14ac:dyDescent="0.25">
      <c r="B101" s="58">
        <f t="shared" si="11"/>
        <v>91</v>
      </c>
      <c r="C101" s="58">
        <f t="shared" si="12"/>
        <v>2985924.6088622357</v>
      </c>
      <c r="D101" s="59">
        <f t="shared" si="13"/>
        <v>19793.881511166648</v>
      </c>
      <c r="E101" s="59">
        <f t="shared" si="14"/>
        <v>9953.0820295407866</v>
      </c>
      <c r="F101" s="59">
        <f t="shared" si="15"/>
        <v>9840.7994816258615</v>
      </c>
      <c r="G101" s="59">
        <f t="shared" si="16"/>
        <v>2976083.80938061</v>
      </c>
      <c r="H101" s="60">
        <f t="shared" si="17"/>
        <v>0.50283629433296295</v>
      </c>
      <c r="I101" s="60">
        <f t="shared" si="18"/>
        <v>0.49716370566703705</v>
      </c>
    </row>
    <row r="102" spans="2:9" x14ac:dyDescent="0.25">
      <c r="B102" s="58">
        <f t="shared" si="11"/>
        <v>92</v>
      </c>
      <c r="C102" s="58">
        <f t="shared" si="12"/>
        <v>2976083.80938061</v>
      </c>
      <c r="D102" s="59">
        <f t="shared" si="13"/>
        <v>19793.881511166648</v>
      </c>
      <c r="E102" s="59">
        <f t="shared" si="14"/>
        <v>9920.2793646020345</v>
      </c>
      <c r="F102" s="59">
        <f t="shared" si="15"/>
        <v>9873.6021465646136</v>
      </c>
      <c r="G102" s="59">
        <f t="shared" si="16"/>
        <v>2966210.2072340455</v>
      </c>
      <c r="H102" s="60">
        <f t="shared" si="17"/>
        <v>0.50117908198073957</v>
      </c>
      <c r="I102" s="60">
        <f t="shared" si="18"/>
        <v>0.49882091801926043</v>
      </c>
    </row>
    <row r="103" spans="2:9" x14ac:dyDescent="0.25">
      <c r="B103" s="58">
        <f t="shared" si="11"/>
        <v>93</v>
      </c>
      <c r="C103" s="58">
        <f t="shared" si="12"/>
        <v>2966210.2072340455</v>
      </c>
      <c r="D103" s="59">
        <f t="shared" si="13"/>
        <v>19793.881511166648</v>
      </c>
      <c r="E103" s="59">
        <f t="shared" si="14"/>
        <v>9887.3673574468194</v>
      </c>
      <c r="F103" s="59">
        <f t="shared" si="15"/>
        <v>9906.5141537198288</v>
      </c>
      <c r="G103" s="59">
        <f t="shared" si="16"/>
        <v>2956303.6930803256</v>
      </c>
      <c r="H103" s="60">
        <f t="shared" si="17"/>
        <v>0.49951634558734204</v>
      </c>
      <c r="I103" s="60">
        <f t="shared" si="18"/>
        <v>0.50048365441265796</v>
      </c>
    </row>
    <row r="104" spans="2:9" x14ac:dyDescent="0.25">
      <c r="B104" s="58">
        <f t="shared" si="11"/>
        <v>94</v>
      </c>
      <c r="C104" s="58">
        <f t="shared" si="12"/>
        <v>2956303.6930803256</v>
      </c>
      <c r="D104" s="59">
        <f t="shared" si="13"/>
        <v>19793.881511166648</v>
      </c>
      <c r="E104" s="59">
        <f t="shared" si="14"/>
        <v>9854.3456436010856</v>
      </c>
      <c r="F104" s="59">
        <f t="shared" si="15"/>
        <v>9939.5358675655625</v>
      </c>
      <c r="G104" s="59">
        <f t="shared" si="16"/>
        <v>2946364.1572127598</v>
      </c>
      <c r="H104" s="60">
        <f t="shared" si="17"/>
        <v>0.49784806673929977</v>
      </c>
      <c r="I104" s="60">
        <f t="shared" si="18"/>
        <v>0.50215193326070018</v>
      </c>
    </row>
    <row r="105" spans="2:9" x14ac:dyDescent="0.25">
      <c r="B105" s="58">
        <f t="shared" si="11"/>
        <v>95</v>
      </c>
      <c r="C105" s="58">
        <f t="shared" si="12"/>
        <v>2946364.1572127598</v>
      </c>
      <c r="D105" s="59">
        <f t="shared" si="13"/>
        <v>19793.881511166648</v>
      </c>
      <c r="E105" s="59">
        <f t="shared" si="14"/>
        <v>9821.2138573758675</v>
      </c>
      <c r="F105" s="59">
        <f t="shared" si="15"/>
        <v>9972.6676537907806</v>
      </c>
      <c r="G105" s="59">
        <f t="shared" si="16"/>
        <v>2936391.4895589692</v>
      </c>
      <c r="H105" s="60">
        <f t="shared" si="17"/>
        <v>0.49617422696176416</v>
      </c>
      <c r="I105" s="60">
        <f t="shared" si="18"/>
        <v>0.50382577303823584</v>
      </c>
    </row>
    <row r="106" spans="2:9" x14ac:dyDescent="0.25">
      <c r="B106" s="58">
        <f t="shared" si="11"/>
        <v>96</v>
      </c>
      <c r="C106" s="58">
        <f t="shared" si="12"/>
        <v>2936391.4895589692</v>
      </c>
      <c r="D106" s="59">
        <f t="shared" si="13"/>
        <v>19793.881511166648</v>
      </c>
      <c r="E106" s="59">
        <f t="shared" si="14"/>
        <v>9787.9716318632309</v>
      </c>
      <c r="F106" s="59">
        <f t="shared" si="15"/>
        <v>10005.909879303417</v>
      </c>
      <c r="G106" s="59">
        <f t="shared" si="16"/>
        <v>2926385.5796796656</v>
      </c>
      <c r="H106" s="60">
        <f t="shared" si="17"/>
        <v>0.49449480771830334</v>
      </c>
      <c r="I106" s="60">
        <f t="shared" si="18"/>
        <v>0.50550519228169666</v>
      </c>
    </row>
    <row r="107" spans="2:9" x14ac:dyDescent="0.25">
      <c r="B107" s="58">
        <f t="shared" si="11"/>
        <v>97</v>
      </c>
      <c r="C107" s="58">
        <f t="shared" si="12"/>
        <v>2926385.5796796656</v>
      </c>
      <c r="D107" s="59">
        <f t="shared" si="13"/>
        <v>19793.881511166648</v>
      </c>
      <c r="E107" s="59">
        <f t="shared" si="14"/>
        <v>9754.6185989322203</v>
      </c>
      <c r="F107" s="59">
        <f t="shared" si="15"/>
        <v>10039.262912234428</v>
      </c>
      <c r="G107" s="59">
        <f t="shared" si="16"/>
        <v>2916346.3167674313</v>
      </c>
      <c r="H107" s="60">
        <f t="shared" si="17"/>
        <v>0.49280979041069772</v>
      </c>
      <c r="I107" s="60">
        <f t="shared" si="18"/>
        <v>0.50719020958930228</v>
      </c>
    </row>
    <row r="108" spans="2:9" x14ac:dyDescent="0.25">
      <c r="B108" s="58">
        <f t="shared" si="11"/>
        <v>98</v>
      </c>
      <c r="C108" s="58">
        <f t="shared" si="12"/>
        <v>2916346.3167674313</v>
      </c>
      <c r="D108" s="59">
        <f t="shared" si="13"/>
        <v>19793.881511166648</v>
      </c>
      <c r="E108" s="59">
        <f t="shared" si="14"/>
        <v>9721.1543892247719</v>
      </c>
      <c r="F108" s="59">
        <f t="shared" si="15"/>
        <v>10072.727121941876</v>
      </c>
      <c r="G108" s="59">
        <f t="shared" si="16"/>
        <v>2906273.5896454896</v>
      </c>
      <c r="H108" s="60">
        <f t="shared" si="17"/>
        <v>0.49111915637873332</v>
      </c>
      <c r="I108" s="60">
        <f t="shared" si="18"/>
        <v>0.50888084362126662</v>
      </c>
    </row>
    <row r="109" spans="2:9" x14ac:dyDescent="0.25">
      <c r="B109" s="58">
        <f t="shared" si="11"/>
        <v>99</v>
      </c>
      <c r="C109" s="58">
        <f t="shared" si="12"/>
        <v>2906273.5896454896</v>
      </c>
      <c r="D109" s="59">
        <f t="shared" si="13"/>
        <v>19793.881511166648</v>
      </c>
      <c r="E109" s="59">
        <f t="shared" si="14"/>
        <v>9687.5786321516334</v>
      </c>
      <c r="F109" s="59">
        <f t="shared" si="15"/>
        <v>10106.302879015015</v>
      </c>
      <c r="G109" s="59">
        <f t="shared" si="16"/>
        <v>2896167.2867664746</v>
      </c>
      <c r="H109" s="60">
        <f t="shared" si="17"/>
        <v>0.48942288689999586</v>
      </c>
      <c r="I109" s="60">
        <f t="shared" si="18"/>
        <v>0.5105771131000042</v>
      </c>
    </row>
    <row r="110" spans="2:9" x14ac:dyDescent="0.25">
      <c r="B110" s="58">
        <f t="shared" si="11"/>
        <v>100</v>
      </c>
      <c r="C110" s="58">
        <f t="shared" si="12"/>
        <v>2896167.2867664746</v>
      </c>
      <c r="D110" s="59">
        <f t="shared" si="13"/>
        <v>19793.881511166648</v>
      </c>
      <c r="E110" s="59">
        <f t="shared" si="14"/>
        <v>9653.8909558882497</v>
      </c>
      <c r="F110" s="59">
        <f t="shared" si="15"/>
        <v>10139.990555278398</v>
      </c>
      <c r="G110" s="59">
        <f t="shared" si="16"/>
        <v>2886027.2962111961</v>
      </c>
      <c r="H110" s="60">
        <f t="shared" si="17"/>
        <v>0.48772096318966246</v>
      </c>
      <c r="I110" s="60">
        <f t="shared" si="18"/>
        <v>0.51227903681033748</v>
      </c>
    </row>
    <row r="111" spans="2:9" x14ac:dyDescent="0.25">
      <c r="B111" s="58">
        <f t="shared" si="11"/>
        <v>101</v>
      </c>
      <c r="C111" s="58">
        <f t="shared" si="12"/>
        <v>2886027.2962111961</v>
      </c>
      <c r="D111" s="59">
        <f t="shared" si="13"/>
        <v>19793.881511166648</v>
      </c>
      <c r="E111" s="59">
        <f t="shared" si="14"/>
        <v>9620.0909873706551</v>
      </c>
      <c r="F111" s="59">
        <f t="shared" si="15"/>
        <v>10173.790523795993</v>
      </c>
      <c r="G111" s="59">
        <f t="shared" si="16"/>
        <v>2875853.5056874002</v>
      </c>
      <c r="H111" s="60">
        <f t="shared" si="17"/>
        <v>0.48601336640029469</v>
      </c>
      <c r="I111" s="60">
        <f t="shared" si="18"/>
        <v>0.51398663359970531</v>
      </c>
    </row>
    <row r="112" spans="2:9" x14ac:dyDescent="0.25">
      <c r="B112" s="58">
        <f t="shared" si="11"/>
        <v>102</v>
      </c>
      <c r="C112" s="58">
        <f t="shared" si="12"/>
        <v>2875853.5056874002</v>
      </c>
      <c r="D112" s="59">
        <f t="shared" si="13"/>
        <v>19793.881511166648</v>
      </c>
      <c r="E112" s="59">
        <f t="shared" si="14"/>
        <v>9586.1783522913356</v>
      </c>
      <c r="F112" s="59">
        <f t="shared" si="15"/>
        <v>10207.703158875313</v>
      </c>
      <c r="G112" s="59">
        <f t="shared" si="16"/>
        <v>2865645.8025285248</v>
      </c>
      <c r="H112" s="60">
        <f t="shared" si="17"/>
        <v>0.48430007762162902</v>
      </c>
      <c r="I112" s="60">
        <f t="shared" si="18"/>
        <v>0.51569992237837092</v>
      </c>
    </row>
    <row r="113" spans="2:9" x14ac:dyDescent="0.25">
      <c r="B113" s="58">
        <f t="shared" si="11"/>
        <v>103</v>
      </c>
      <c r="C113" s="58">
        <f t="shared" si="12"/>
        <v>2865645.8025285248</v>
      </c>
      <c r="D113" s="59">
        <f t="shared" si="13"/>
        <v>19793.881511166648</v>
      </c>
      <c r="E113" s="59">
        <f t="shared" si="14"/>
        <v>9552.1526750950834</v>
      </c>
      <c r="F113" s="59">
        <f t="shared" si="15"/>
        <v>10241.728836071565</v>
      </c>
      <c r="G113" s="59">
        <f t="shared" si="16"/>
        <v>2855404.0736924531</v>
      </c>
      <c r="H113" s="60">
        <f t="shared" si="17"/>
        <v>0.48258107788036775</v>
      </c>
      <c r="I113" s="60">
        <f t="shared" si="18"/>
        <v>0.51741892211963225</v>
      </c>
    </row>
    <row r="114" spans="2:9" x14ac:dyDescent="0.25">
      <c r="B114" s="58">
        <f t="shared" si="11"/>
        <v>104</v>
      </c>
      <c r="C114" s="58">
        <f t="shared" si="12"/>
        <v>2855404.0736924531</v>
      </c>
      <c r="D114" s="59">
        <f t="shared" si="13"/>
        <v>19793.881511166648</v>
      </c>
      <c r="E114" s="59">
        <f t="shared" si="14"/>
        <v>9518.0135789748438</v>
      </c>
      <c r="F114" s="59">
        <f t="shared" si="15"/>
        <v>10275.867932191804</v>
      </c>
      <c r="G114" s="59">
        <f t="shared" si="16"/>
        <v>2845128.2057602615</v>
      </c>
      <c r="H114" s="60">
        <f t="shared" si="17"/>
        <v>0.48085634813996891</v>
      </c>
      <c r="I114" s="60">
        <f t="shared" si="18"/>
        <v>0.51914365186003109</v>
      </c>
    </row>
    <row r="115" spans="2:9" x14ac:dyDescent="0.25">
      <c r="B115" s="58">
        <f t="shared" si="11"/>
        <v>105</v>
      </c>
      <c r="C115" s="58">
        <f t="shared" si="12"/>
        <v>2845128.2057602615</v>
      </c>
      <c r="D115" s="59">
        <f t="shared" si="13"/>
        <v>19793.881511166648</v>
      </c>
      <c r="E115" s="59">
        <f t="shared" si="14"/>
        <v>9483.760685867539</v>
      </c>
      <c r="F115" s="59">
        <f t="shared" si="15"/>
        <v>10310.120825299109</v>
      </c>
      <c r="G115" s="59">
        <f t="shared" si="16"/>
        <v>2834818.0849349624</v>
      </c>
      <c r="H115" s="60">
        <f t="shared" si="17"/>
        <v>0.47912586930043555</v>
      </c>
      <c r="I115" s="60">
        <f t="shared" si="18"/>
        <v>0.52087413069956445</v>
      </c>
    </row>
    <row r="116" spans="2:9" x14ac:dyDescent="0.25">
      <c r="B116" s="58">
        <f t="shared" si="11"/>
        <v>106</v>
      </c>
      <c r="C116" s="58">
        <f t="shared" si="12"/>
        <v>2834818.0849349624</v>
      </c>
      <c r="D116" s="59">
        <f t="shared" si="13"/>
        <v>19793.881511166648</v>
      </c>
      <c r="E116" s="59">
        <f t="shared" si="14"/>
        <v>9449.3936164498755</v>
      </c>
      <c r="F116" s="59">
        <f t="shared" si="15"/>
        <v>10344.487894716773</v>
      </c>
      <c r="G116" s="59">
        <f t="shared" si="16"/>
        <v>2824473.5970402458</v>
      </c>
      <c r="H116" s="60">
        <f t="shared" si="17"/>
        <v>0.47738962219810366</v>
      </c>
      <c r="I116" s="60">
        <f t="shared" si="18"/>
        <v>0.52261037780189634</v>
      </c>
    </row>
    <row r="117" spans="2:9" x14ac:dyDescent="0.25">
      <c r="B117" s="58">
        <f t="shared" si="11"/>
        <v>107</v>
      </c>
      <c r="C117" s="58">
        <f t="shared" si="12"/>
        <v>2824473.5970402458</v>
      </c>
      <c r="D117" s="59">
        <f t="shared" si="13"/>
        <v>19793.881511166648</v>
      </c>
      <c r="E117" s="59">
        <f t="shared" si="14"/>
        <v>9414.9119901341528</v>
      </c>
      <c r="F117" s="59">
        <f t="shared" si="15"/>
        <v>10378.969521032495</v>
      </c>
      <c r="G117" s="59">
        <f t="shared" si="16"/>
        <v>2814094.6275192131</v>
      </c>
      <c r="H117" s="60">
        <f t="shared" si="17"/>
        <v>0.47564758760543069</v>
      </c>
      <c r="I117" s="60">
        <f t="shared" si="18"/>
        <v>0.52435241239456931</v>
      </c>
    </row>
    <row r="118" spans="2:9" x14ac:dyDescent="0.25">
      <c r="B118" s="58">
        <f t="shared" si="11"/>
        <v>108</v>
      </c>
      <c r="C118" s="58">
        <f t="shared" si="12"/>
        <v>2814094.6275192131</v>
      </c>
      <c r="D118" s="59">
        <f t="shared" si="13"/>
        <v>19793.881511166648</v>
      </c>
      <c r="E118" s="59">
        <f t="shared" si="14"/>
        <v>9380.3154250640437</v>
      </c>
      <c r="F118" s="59">
        <f t="shared" si="15"/>
        <v>10413.566086102604</v>
      </c>
      <c r="G118" s="59">
        <f t="shared" si="16"/>
        <v>2803681.0614331104</v>
      </c>
      <c r="H118" s="60">
        <f t="shared" si="17"/>
        <v>0.47389974623078207</v>
      </c>
      <c r="I118" s="60">
        <f t="shared" si="18"/>
        <v>0.52610025376921798</v>
      </c>
    </row>
    <row r="119" spans="2:9" x14ac:dyDescent="0.25">
      <c r="B119" s="58">
        <f t="shared" si="11"/>
        <v>109</v>
      </c>
      <c r="C119" s="58">
        <f t="shared" si="12"/>
        <v>2803681.0614331104</v>
      </c>
      <c r="D119" s="59">
        <f t="shared" si="13"/>
        <v>19793.881511166648</v>
      </c>
      <c r="E119" s="59">
        <f t="shared" si="14"/>
        <v>9345.6035381103684</v>
      </c>
      <c r="F119" s="59">
        <f t="shared" si="15"/>
        <v>10448.27797305628</v>
      </c>
      <c r="G119" s="59">
        <f t="shared" si="16"/>
        <v>2793232.7834600541</v>
      </c>
      <c r="H119" s="60">
        <f t="shared" si="17"/>
        <v>0.47214607871821801</v>
      </c>
      <c r="I119" s="60">
        <f t="shared" si="18"/>
        <v>0.52785392128178199</v>
      </c>
    </row>
    <row r="120" spans="2:9" x14ac:dyDescent="0.25">
      <c r="B120" s="58">
        <f t="shared" si="11"/>
        <v>110</v>
      </c>
      <c r="C120" s="58">
        <f t="shared" si="12"/>
        <v>2793232.7834600541</v>
      </c>
      <c r="D120" s="59">
        <f t="shared" si="13"/>
        <v>19793.881511166648</v>
      </c>
      <c r="E120" s="59">
        <f t="shared" si="14"/>
        <v>9310.7759448668476</v>
      </c>
      <c r="F120" s="59">
        <f t="shared" si="15"/>
        <v>10483.105566299801</v>
      </c>
      <c r="G120" s="59">
        <f t="shared" si="16"/>
        <v>2782749.6778937541</v>
      </c>
      <c r="H120" s="60">
        <f t="shared" si="17"/>
        <v>0.47038656564727876</v>
      </c>
      <c r="I120" s="60">
        <f t="shared" si="18"/>
        <v>0.52961343435272124</v>
      </c>
    </row>
    <row r="121" spans="2:9" x14ac:dyDescent="0.25">
      <c r="B121" s="58">
        <f t="shared" si="11"/>
        <v>111</v>
      </c>
      <c r="C121" s="58">
        <f t="shared" si="12"/>
        <v>2782749.6778937541</v>
      </c>
      <c r="D121" s="59">
        <f t="shared" si="13"/>
        <v>19793.881511166648</v>
      </c>
      <c r="E121" s="59">
        <f t="shared" si="14"/>
        <v>9275.8322596458474</v>
      </c>
      <c r="F121" s="59">
        <f t="shared" si="15"/>
        <v>10518.049251520801</v>
      </c>
      <c r="G121" s="59">
        <f t="shared" si="16"/>
        <v>2772231.6286422331</v>
      </c>
      <c r="H121" s="60">
        <f t="shared" si="17"/>
        <v>0.46862118753276966</v>
      </c>
      <c r="I121" s="60">
        <f t="shared" si="18"/>
        <v>0.5313788124672304</v>
      </c>
    </row>
    <row r="122" spans="2:9" x14ac:dyDescent="0.25">
      <c r="B122" s="58">
        <f t="shared" si="11"/>
        <v>112</v>
      </c>
      <c r="C122" s="58">
        <f t="shared" si="12"/>
        <v>2772231.6286422331</v>
      </c>
      <c r="D122" s="59">
        <f t="shared" si="13"/>
        <v>19793.881511166648</v>
      </c>
      <c r="E122" s="59">
        <f t="shared" si="14"/>
        <v>9240.7720954741108</v>
      </c>
      <c r="F122" s="59">
        <f t="shared" si="15"/>
        <v>10553.109415692537</v>
      </c>
      <c r="G122" s="59">
        <f t="shared" si="16"/>
        <v>2761678.5192265403</v>
      </c>
      <c r="H122" s="60">
        <f t="shared" si="17"/>
        <v>0.46684992482454551</v>
      </c>
      <c r="I122" s="60">
        <f t="shared" si="18"/>
        <v>0.53315007517545454</v>
      </c>
    </row>
    <row r="123" spans="2:9" x14ac:dyDescent="0.25">
      <c r="B123" s="58">
        <f t="shared" si="11"/>
        <v>113</v>
      </c>
      <c r="C123" s="58">
        <f t="shared" si="12"/>
        <v>2761678.5192265403</v>
      </c>
      <c r="D123" s="59">
        <f t="shared" si="13"/>
        <v>19793.881511166648</v>
      </c>
      <c r="E123" s="59">
        <f t="shared" si="14"/>
        <v>9205.5950640884676</v>
      </c>
      <c r="F123" s="59">
        <f t="shared" si="15"/>
        <v>10588.286447078181</v>
      </c>
      <c r="G123" s="59">
        <f t="shared" si="16"/>
        <v>2751090.2327794624</v>
      </c>
      <c r="H123" s="60">
        <f t="shared" si="17"/>
        <v>0.46507275790729391</v>
      </c>
      <c r="I123" s="60">
        <f t="shared" si="18"/>
        <v>0.53492724209270603</v>
      </c>
    </row>
    <row r="124" spans="2:9" x14ac:dyDescent="0.25">
      <c r="B124" s="58">
        <f t="shared" si="11"/>
        <v>114</v>
      </c>
      <c r="C124" s="58">
        <f t="shared" si="12"/>
        <v>2751090.2327794624</v>
      </c>
      <c r="D124" s="59">
        <f t="shared" si="13"/>
        <v>19793.881511166648</v>
      </c>
      <c r="E124" s="59">
        <f t="shared" si="14"/>
        <v>9170.3007759315424</v>
      </c>
      <c r="F124" s="59">
        <f t="shared" si="15"/>
        <v>10623.580735235106</v>
      </c>
      <c r="G124" s="59">
        <f t="shared" si="16"/>
        <v>2740466.6520442273</v>
      </c>
      <c r="H124" s="60">
        <f t="shared" si="17"/>
        <v>0.46328966710031833</v>
      </c>
      <c r="I124" s="60">
        <f t="shared" si="18"/>
        <v>0.53671033289968162</v>
      </c>
    </row>
    <row r="125" spans="2:9" x14ac:dyDescent="0.25">
      <c r="B125" s="58">
        <f t="shared" si="11"/>
        <v>115</v>
      </c>
      <c r="C125" s="58">
        <f t="shared" si="12"/>
        <v>2740466.6520442273</v>
      </c>
      <c r="D125" s="59">
        <f t="shared" si="13"/>
        <v>19793.881511166648</v>
      </c>
      <c r="E125" s="59">
        <f t="shared" si="14"/>
        <v>9134.8888401474251</v>
      </c>
      <c r="F125" s="59">
        <f t="shared" si="15"/>
        <v>10658.992671019223</v>
      </c>
      <c r="G125" s="59">
        <f t="shared" si="16"/>
        <v>2729807.6593732079</v>
      </c>
      <c r="H125" s="60">
        <f t="shared" si="17"/>
        <v>0.46150063265731939</v>
      </c>
      <c r="I125" s="60">
        <f t="shared" si="18"/>
        <v>0.53849936734268067</v>
      </c>
    </row>
    <row r="126" spans="2:9" x14ac:dyDescent="0.25">
      <c r="B126" s="58">
        <f t="shared" si="11"/>
        <v>116</v>
      </c>
      <c r="C126" s="58">
        <f t="shared" si="12"/>
        <v>2729807.6593732079</v>
      </c>
      <c r="D126" s="59">
        <f t="shared" si="13"/>
        <v>19793.881511166648</v>
      </c>
      <c r="E126" s="59">
        <f t="shared" si="14"/>
        <v>9099.3588645773598</v>
      </c>
      <c r="F126" s="59">
        <f t="shared" si="15"/>
        <v>10694.522646589288</v>
      </c>
      <c r="G126" s="59">
        <f t="shared" si="16"/>
        <v>2719113.1367266187</v>
      </c>
      <c r="H126" s="60">
        <f t="shared" si="17"/>
        <v>0.45970563476617704</v>
      </c>
      <c r="I126" s="60">
        <f t="shared" si="18"/>
        <v>0.5402943652338229</v>
      </c>
    </row>
    <row r="127" spans="2:9" x14ac:dyDescent="0.25">
      <c r="B127" s="58">
        <f t="shared" si="11"/>
        <v>117</v>
      </c>
      <c r="C127" s="58">
        <f t="shared" si="12"/>
        <v>2719113.1367266187</v>
      </c>
      <c r="D127" s="59">
        <f t="shared" si="13"/>
        <v>19793.881511166648</v>
      </c>
      <c r="E127" s="59">
        <f t="shared" si="14"/>
        <v>9063.7104557553957</v>
      </c>
      <c r="F127" s="59">
        <f t="shared" si="15"/>
        <v>10730.171055411252</v>
      </c>
      <c r="G127" s="59">
        <f t="shared" si="16"/>
        <v>2708382.9656712073</v>
      </c>
      <c r="H127" s="60">
        <f t="shared" si="17"/>
        <v>0.457904653548731</v>
      </c>
      <c r="I127" s="60">
        <f t="shared" si="18"/>
        <v>0.542095346451269</v>
      </c>
    </row>
    <row r="128" spans="2:9" x14ac:dyDescent="0.25">
      <c r="B128" s="58">
        <f t="shared" si="11"/>
        <v>118</v>
      </c>
      <c r="C128" s="58">
        <f t="shared" si="12"/>
        <v>2708382.9656712073</v>
      </c>
      <c r="D128" s="59">
        <f t="shared" si="13"/>
        <v>19793.881511166648</v>
      </c>
      <c r="E128" s="59">
        <f t="shared" si="14"/>
        <v>9027.9432189040253</v>
      </c>
      <c r="F128" s="59">
        <f t="shared" si="15"/>
        <v>10765.938292262623</v>
      </c>
      <c r="G128" s="59">
        <f t="shared" si="16"/>
        <v>2697617.0273789447</v>
      </c>
      <c r="H128" s="60">
        <f t="shared" si="17"/>
        <v>0.4560976690605601</v>
      </c>
      <c r="I128" s="60">
        <f t="shared" si="18"/>
        <v>0.54390233093943985</v>
      </c>
    </row>
    <row r="129" spans="2:9" x14ac:dyDescent="0.25">
      <c r="B129" s="58">
        <f t="shared" si="11"/>
        <v>119</v>
      </c>
      <c r="C129" s="58">
        <f t="shared" si="12"/>
        <v>2697617.0273789447</v>
      </c>
      <c r="D129" s="59">
        <f t="shared" si="13"/>
        <v>19793.881511166648</v>
      </c>
      <c r="E129" s="59">
        <f t="shared" si="14"/>
        <v>8992.0567579298167</v>
      </c>
      <c r="F129" s="59">
        <f t="shared" si="15"/>
        <v>10801.824753236831</v>
      </c>
      <c r="G129" s="59">
        <f t="shared" si="16"/>
        <v>2686815.2026257077</v>
      </c>
      <c r="H129" s="60">
        <f t="shared" si="17"/>
        <v>0.454284661290762</v>
      </c>
      <c r="I129" s="60">
        <f t="shared" si="18"/>
        <v>0.54571533870923805</v>
      </c>
    </row>
    <row r="130" spans="2:9" x14ac:dyDescent="0.25">
      <c r="B130" s="58">
        <f t="shared" si="11"/>
        <v>120</v>
      </c>
      <c r="C130" s="58">
        <f t="shared" si="12"/>
        <v>2686815.2026257077</v>
      </c>
      <c r="D130" s="59">
        <f t="shared" si="13"/>
        <v>19793.881511166648</v>
      </c>
      <c r="E130" s="59">
        <f t="shared" si="14"/>
        <v>8956.0506754190264</v>
      </c>
      <c r="F130" s="59">
        <f t="shared" si="15"/>
        <v>10837.830835747622</v>
      </c>
      <c r="G130" s="59">
        <f t="shared" si="16"/>
        <v>2675977.3717899602</v>
      </c>
      <c r="H130" s="60">
        <f t="shared" si="17"/>
        <v>0.45246561016173115</v>
      </c>
      <c r="I130" s="60">
        <f t="shared" si="18"/>
        <v>0.54753438983826885</v>
      </c>
    </row>
    <row r="131" spans="2:9" x14ac:dyDescent="0.25">
      <c r="B131" s="58">
        <f t="shared" si="11"/>
        <v>121</v>
      </c>
      <c r="C131" s="58">
        <f t="shared" si="12"/>
        <v>2675977.3717899602</v>
      </c>
      <c r="D131" s="59">
        <f t="shared" si="13"/>
        <v>19793.881511166648</v>
      </c>
      <c r="E131" s="59">
        <f t="shared" si="14"/>
        <v>8919.924572633201</v>
      </c>
      <c r="F131" s="59">
        <f t="shared" si="15"/>
        <v>10873.956938533447</v>
      </c>
      <c r="G131" s="59">
        <f t="shared" si="16"/>
        <v>2665103.4148514266</v>
      </c>
      <c r="H131" s="60">
        <f t="shared" si="17"/>
        <v>0.45064049552893692</v>
      </c>
      <c r="I131" s="60">
        <f t="shared" si="18"/>
        <v>0.54935950447106308</v>
      </c>
    </row>
    <row r="132" spans="2:9" x14ac:dyDescent="0.25">
      <c r="B132" s="58">
        <f t="shared" si="11"/>
        <v>122</v>
      </c>
      <c r="C132" s="58">
        <f t="shared" si="12"/>
        <v>2665103.4148514266</v>
      </c>
      <c r="D132" s="59">
        <f t="shared" si="13"/>
        <v>19793.881511166648</v>
      </c>
      <c r="E132" s="59">
        <f t="shared" si="14"/>
        <v>8883.6780495047551</v>
      </c>
      <c r="F132" s="59">
        <f t="shared" si="15"/>
        <v>10910.203461661893</v>
      </c>
      <c r="G132" s="59">
        <f t="shared" si="16"/>
        <v>2654193.2113897647</v>
      </c>
      <c r="H132" s="60">
        <f t="shared" si="17"/>
        <v>0.44880929718070001</v>
      </c>
      <c r="I132" s="60">
        <f t="shared" si="18"/>
        <v>0.55119070281930005</v>
      </c>
    </row>
    <row r="133" spans="2:9" x14ac:dyDescent="0.25">
      <c r="B133" s="58">
        <f t="shared" si="11"/>
        <v>123</v>
      </c>
      <c r="C133" s="58">
        <f t="shared" si="12"/>
        <v>2654193.2113897647</v>
      </c>
      <c r="D133" s="59">
        <f t="shared" si="13"/>
        <v>19793.881511166648</v>
      </c>
      <c r="E133" s="59">
        <f t="shared" si="14"/>
        <v>8847.3107046325495</v>
      </c>
      <c r="F133" s="59">
        <f t="shared" si="15"/>
        <v>10946.570806534099</v>
      </c>
      <c r="G133" s="59">
        <f t="shared" si="16"/>
        <v>2643246.6405832306</v>
      </c>
      <c r="H133" s="60">
        <f t="shared" si="17"/>
        <v>0.44697199483796901</v>
      </c>
      <c r="I133" s="60">
        <f t="shared" si="18"/>
        <v>0.55302800516203099</v>
      </c>
    </row>
    <row r="134" spans="2:9" x14ac:dyDescent="0.25">
      <c r="B134" s="58">
        <f t="shared" si="11"/>
        <v>124</v>
      </c>
      <c r="C134" s="58">
        <f t="shared" si="12"/>
        <v>2643246.6405832306</v>
      </c>
      <c r="D134" s="59">
        <f t="shared" si="13"/>
        <v>19793.881511166648</v>
      </c>
      <c r="E134" s="59">
        <f t="shared" si="14"/>
        <v>8810.8221352774362</v>
      </c>
      <c r="F134" s="59">
        <f t="shared" si="15"/>
        <v>10983.059375889212</v>
      </c>
      <c r="G134" s="59">
        <f t="shared" si="16"/>
        <v>2632263.5812073415</v>
      </c>
      <c r="H134" s="60">
        <f t="shared" si="17"/>
        <v>0.44512856815409563</v>
      </c>
      <c r="I134" s="60">
        <f t="shared" si="18"/>
        <v>0.55487143184590437</v>
      </c>
    </row>
    <row r="135" spans="2:9" x14ac:dyDescent="0.25">
      <c r="B135" s="58">
        <f t="shared" si="11"/>
        <v>125</v>
      </c>
      <c r="C135" s="58">
        <f t="shared" si="12"/>
        <v>2632263.5812073415</v>
      </c>
      <c r="D135" s="59">
        <f t="shared" si="13"/>
        <v>19793.881511166648</v>
      </c>
      <c r="E135" s="59">
        <f t="shared" si="14"/>
        <v>8774.2119373578062</v>
      </c>
      <c r="F135" s="59">
        <f t="shared" si="15"/>
        <v>11019.669573808842</v>
      </c>
      <c r="G135" s="59">
        <f t="shared" si="16"/>
        <v>2621243.9116335325</v>
      </c>
      <c r="H135" s="60">
        <f t="shared" si="17"/>
        <v>0.4432789967146093</v>
      </c>
      <c r="I135" s="60">
        <f t="shared" si="18"/>
        <v>0.55672100328539076</v>
      </c>
    </row>
    <row r="136" spans="2:9" x14ac:dyDescent="0.25">
      <c r="B136" s="58">
        <f t="shared" si="11"/>
        <v>126</v>
      </c>
      <c r="C136" s="58">
        <f t="shared" si="12"/>
        <v>2621243.9116335325</v>
      </c>
      <c r="D136" s="59">
        <f t="shared" si="13"/>
        <v>19793.881511166648</v>
      </c>
      <c r="E136" s="59">
        <f t="shared" si="14"/>
        <v>8737.4797054451083</v>
      </c>
      <c r="F136" s="59">
        <f t="shared" si="15"/>
        <v>11056.40180572154</v>
      </c>
      <c r="G136" s="59">
        <f t="shared" si="16"/>
        <v>2610187.5098278108</v>
      </c>
      <c r="H136" s="60">
        <f t="shared" si="17"/>
        <v>0.44142326003699123</v>
      </c>
      <c r="I136" s="60">
        <f t="shared" si="18"/>
        <v>0.55857673996300872</v>
      </c>
    </row>
    <row r="137" spans="2:9" x14ac:dyDescent="0.25">
      <c r="B137" s="58">
        <f t="shared" si="11"/>
        <v>127</v>
      </c>
      <c r="C137" s="58">
        <f t="shared" si="12"/>
        <v>2610187.5098278108</v>
      </c>
      <c r="D137" s="59">
        <f t="shared" si="13"/>
        <v>19793.881511166648</v>
      </c>
      <c r="E137" s="59">
        <f t="shared" si="14"/>
        <v>8700.6250327593698</v>
      </c>
      <c r="F137" s="59">
        <f t="shared" si="15"/>
        <v>11093.256478407278</v>
      </c>
      <c r="G137" s="59">
        <f t="shared" si="16"/>
        <v>2599094.2533494034</v>
      </c>
      <c r="H137" s="60">
        <f t="shared" si="17"/>
        <v>0.43956133757044785</v>
      </c>
      <c r="I137" s="60">
        <f t="shared" si="18"/>
        <v>0.56043866242955209</v>
      </c>
    </row>
    <row r="138" spans="2:9" x14ac:dyDescent="0.25">
      <c r="B138" s="58">
        <f t="shared" si="11"/>
        <v>128</v>
      </c>
      <c r="C138" s="58">
        <f t="shared" si="12"/>
        <v>2599094.2533494034</v>
      </c>
      <c r="D138" s="59">
        <f t="shared" si="13"/>
        <v>19793.881511166648</v>
      </c>
      <c r="E138" s="59">
        <f t="shared" si="14"/>
        <v>8663.6475111646778</v>
      </c>
      <c r="F138" s="59">
        <f t="shared" si="15"/>
        <v>11130.23400000197</v>
      </c>
      <c r="G138" s="59">
        <f t="shared" si="16"/>
        <v>2587964.0193494014</v>
      </c>
      <c r="H138" s="60">
        <f t="shared" si="17"/>
        <v>0.43769320869568262</v>
      </c>
      <c r="I138" s="60">
        <f t="shared" si="18"/>
        <v>0.56230679130431738</v>
      </c>
    </row>
    <row r="139" spans="2:9" x14ac:dyDescent="0.25">
      <c r="B139" s="58">
        <f t="shared" si="11"/>
        <v>129</v>
      </c>
      <c r="C139" s="58">
        <f t="shared" si="12"/>
        <v>2587964.0193494014</v>
      </c>
      <c r="D139" s="59">
        <f t="shared" si="13"/>
        <v>19793.881511166648</v>
      </c>
      <c r="E139" s="59">
        <f t="shared" si="14"/>
        <v>8626.5467311646717</v>
      </c>
      <c r="F139" s="59">
        <f t="shared" si="15"/>
        <v>11167.334780001976</v>
      </c>
      <c r="G139" s="59">
        <f t="shared" si="16"/>
        <v>2576796.6845693993</v>
      </c>
      <c r="H139" s="60">
        <f t="shared" si="17"/>
        <v>0.43581885272466825</v>
      </c>
      <c r="I139" s="60">
        <f t="shared" si="18"/>
        <v>0.56418114727533175</v>
      </c>
    </row>
    <row r="140" spans="2:9" x14ac:dyDescent="0.25">
      <c r="B140" s="58">
        <f t="shared" si="11"/>
        <v>130</v>
      </c>
      <c r="C140" s="58">
        <f t="shared" si="12"/>
        <v>2576796.6845693993</v>
      </c>
      <c r="D140" s="59">
        <f t="shared" si="13"/>
        <v>19793.881511166648</v>
      </c>
      <c r="E140" s="59">
        <f t="shared" si="14"/>
        <v>8589.3222818979975</v>
      </c>
      <c r="F140" s="59">
        <f t="shared" si="15"/>
        <v>11204.559229268651</v>
      </c>
      <c r="G140" s="59">
        <f t="shared" si="16"/>
        <v>2565592.1253401306</v>
      </c>
      <c r="H140" s="60">
        <f t="shared" si="17"/>
        <v>0.4339382489004171</v>
      </c>
      <c r="I140" s="60">
        <f t="shared" si="18"/>
        <v>0.5660617510995829</v>
      </c>
    </row>
    <row r="141" spans="2:9" x14ac:dyDescent="0.25">
      <c r="B141" s="58">
        <f t="shared" ref="B141:B204" si="19">B140+1</f>
        <v>131</v>
      </c>
      <c r="C141" s="58">
        <f t="shared" ref="C141:C204" si="20">G140</f>
        <v>2565592.1253401306</v>
      </c>
      <c r="D141" s="59">
        <f t="shared" ref="D141:D204" si="21">$I$7</f>
        <v>19793.881511166648</v>
      </c>
      <c r="E141" s="59">
        <f t="shared" ref="E141:E204" si="22">C141*$I$6</f>
        <v>8551.9737511337698</v>
      </c>
      <c r="F141" s="59">
        <f t="shared" ref="F141:F204" si="23">D141-E141</f>
        <v>11241.907760032878</v>
      </c>
      <c r="G141" s="59">
        <f t="shared" ref="G141:G204" si="24">C141-F141</f>
        <v>2554350.2175800977</v>
      </c>
      <c r="H141" s="60">
        <f t="shared" ref="H141:H204" si="25">E141/D141</f>
        <v>0.4320513763967519</v>
      </c>
      <c r="I141" s="60">
        <f t="shared" ref="I141:I204" si="26">F141/D141</f>
        <v>0.56794862360324805</v>
      </c>
    </row>
    <row r="142" spans="2:9" x14ac:dyDescent="0.25">
      <c r="B142" s="58">
        <f t="shared" si="19"/>
        <v>132</v>
      </c>
      <c r="C142" s="58">
        <f t="shared" si="20"/>
        <v>2554350.2175800977</v>
      </c>
      <c r="D142" s="59">
        <f t="shared" si="21"/>
        <v>19793.881511166648</v>
      </c>
      <c r="E142" s="59">
        <f t="shared" si="22"/>
        <v>8514.500725266993</v>
      </c>
      <c r="F142" s="59">
        <f t="shared" si="23"/>
        <v>11279.380785899655</v>
      </c>
      <c r="G142" s="59">
        <f t="shared" si="24"/>
        <v>2543070.836794198</v>
      </c>
      <c r="H142" s="60">
        <f t="shared" si="25"/>
        <v>0.43015821431807438</v>
      </c>
      <c r="I142" s="60">
        <f t="shared" si="26"/>
        <v>0.56984178568192567</v>
      </c>
    </row>
    <row r="143" spans="2:9" x14ac:dyDescent="0.25">
      <c r="B143" s="58">
        <f t="shared" si="19"/>
        <v>133</v>
      </c>
      <c r="C143" s="58">
        <f t="shared" si="20"/>
        <v>2543070.836794198</v>
      </c>
      <c r="D143" s="59">
        <f t="shared" si="21"/>
        <v>19793.881511166648</v>
      </c>
      <c r="E143" s="59">
        <f t="shared" si="22"/>
        <v>8476.9027893139937</v>
      </c>
      <c r="F143" s="59">
        <f t="shared" si="23"/>
        <v>11316.978721852654</v>
      </c>
      <c r="G143" s="59">
        <f t="shared" si="24"/>
        <v>2531753.8580723451</v>
      </c>
      <c r="H143" s="60">
        <f t="shared" si="25"/>
        <v>0.42825874169913458</v>
      </c>
      <c r="I143" s="60">
        <f t="shared" si="26"/>
        <v>0.57174125830086542</v>
      </c>
    </row>
    <row r="144" spans="2:9" x14ac:dyDescent="0.25">
      <c r="B144" s="58">
        <f t="shared" si="19"/>
        <v>134</v>
      </c>
      <c r="C144" s="58">
        <f t="shared" si="20"/>
        <v>2531753.8580723451</v>
      </c>
      <c r="D144" s="59">
        <f t="shared" si="21"/>
        <v>19793.881511166648</v>
      </c>
      <c r="E144" s="59">
        <f t="shared" si="22"/>
        <v>8439.1795269078175</v>
      </c>
      <c r="F144" s="59">
        <f t="shared" si="23"/>
        <v>11354.701984258831</v>
      </c>
      <c r="G144" s="59">
        <f t="shared" si="24"/>
        <v>2520399.1560880863</v>
      </c>
      <c r="H144" s="60">
        <f t="shared" si="25"/>
        <v>0.42635293750479836</v>
      </c>
      <c r="I144" s="60">
        <f t="shared" si="26"/>
        <v>0.5736470624952017</v>
      </c>
    </row>
    <row r="145" spans="2:9" x14ac:dyDescent="0.25">
      <c r="B145" s="58">
        <f t="shared" si="19"/>
        <v>135</v>
      </c>
      <c r="C145" s="58">
        <f t="shared" si="20"/>
        <v>2520399.1560880863</v>
      </c>
      <c r="D145" s="59">
        <f t="shared" si="21"/>
        <v>19793.881511166648</v>
      </c>
      <c r="E145" s="59">
        <f t="shared" si="22"/>
        <v>8401.3305202936208</v>
      </c>
      <c r="F145" s="59">
        <f t="shared" si="23"/>
        <v>11392.550990873027</v>
      </c>
      <c r="G145" s="59">
        <f t="shared" si="24"/>
        <v>2509006.6050972133</v>
      </c>
      <c r="H145" s="60">
        <f t="shared" si="25"/>
        <v>0.42444078062981433</v>
      </c>
      <c r="I145" s="60">
        <f t="shared" si="26"/>
        <v>0.57555921937018573</v>
      </c>
    </row>
    <row r="146" spans="2:9" x14ac:dyDescent="0.25">
      <c r="B146" s="58">
        <f t="shared" si="19"/>
        <v>136</v>
      </c>
      <c r="C146" s="58">
        <f t="shared" si="20"/>
        <v>2509006.6050972133</v>
      </c>
      <c r="D146" s="59">
        <f t="shared" si="21"/>
        <v>19793.881511166648</v>
      </c>
      <c r="E146" s="59">
        <f t="shared" si="22"/>
        <v>8363.3553503240455</v>
      </c>
      <c r="F146" s="59">
        <f t="shared" si="23"/>
        <v>11430.526160842603</v>
      </c>
      <c r="G146" s="59">
        <f t="shared" si="24"/>
        <v>2497576.0789363706</v>
      </c>
      <c r="H146" s="60">
        <f t="shared" si="25"/>
        <v>0.42252224989858045</v>
      </c>
      <c r="I146" s="60">
        <f t="shared" si="26"/>
        <v>0.57747775010141955</v>
      </c>
    </row>
    <row r="147" spans="2:9" x14ac:dyDescent="0.25">
      <c r="B147" s="58">
        <f t="shared" si="19"/>
        <v>137</v>
      </c>
      <c r="C147" s="58">
        <f t="shared" si="20"/>
        <v>2497576.0789363706</v>
      </c>
      <c r="D147" s="59">
        <f t="shared" si="21"/>
        <v>19793.881511166648</v>
      </c>
      <c r="E147" s="59">
        <f t="shared" si="22"/>
        <v>8325.2535964545696</v>
      </c>
      <c r="F147" s="59">
        <f t="shared" si="23"/>
        <v>11468.627914712079</v>
      </c>
      <c r="G147" s="59">
        <f t="shared" si="24"/>
        <v>2486107.4510216583</v>
      </c>
      <c r="H147" s="60">
        <f t="shared" si="25"/>
        <v>0.42059732406490902</v>
      </c>
      <c r="I147" s="60">
        <f t="shared" si="26"/>
        <v>0.57940267593509098</v>
      </c>
    </row>
    <row r="148" spans="2:9" x14ac:dyDescent="0.25">
      <c r="B148" s="58">
        <f t="shared" si="19"/>
        <v>138</v>
      </c>
      <c r="C148" s="58">
        <f t="shared" si="20"/>
        <v>2486107.4510216583</v>
      </c>
      <c r="D148" s="59">
        <f t="shared" si="21"/>
        <v>19793.881511166648</v>
      </c>
      <c r="E148" s="59">
        <f t="shared" si="22"/>
        <v>8287.0248367388613</v>
      </c>
      <c r="F148" s="59">
        <f t="shared" si="23"/>
        <v>11506.856674427787</v>
      </c>
      <c r="G148" s="59">
        <f t="shared" si="24"/>
        <v>2474600.5943472306</v>
      </c>
      <c r="H148" s="60">
        <f t="shared" si="25"/>
        <v>0.41866598181179199</v>
      </c>
      <c r="I148" s="60">
        <f t="shared" si="26"/>
        <v>0.58133401818820807</v>
      </c>
    </row>
    <row r="149" spans="2:9" x14ac:dyDescent="0.25">
      <c r="B149" s="58">
        <f t="shared" si="19"/>
        <v>139</v>
      </c>
      <c r="C149" s="58">
        <f t="shared" si="20"/>
        <v>2474600.5943472306</v>
      </c>
      <c r="D149" s="59">
        <f t="shared" si="21"/>
        <v>19793.881511166648</v>
      </c>
      <c r="E149" s="59">
        <f t="shared" si="22"/>
        <v>8248.6686478241027</v>
      </c>
      <c r="F149" s="59">
        <f t="shared" si="23"/>
        <v>11545.212863342545</v>
      </c>
      <c r="G149" s="59">
        <f t="shared" si="24"/>
        <v>2463055.3814838883</v>
      </c>
      <c r="H149" s="60">
        <f t="shared" si="25"/>
        <v>0.41672820175116465</v>
      </c>
      <c r="I149" s="60">
        <f t="shared" si="26"/>
        <v>0.58327179824883535</v>
      </c>
    </row>
    <row r="150" spans="2:9" x14ac:dyDescent="0.25">
      <c r="B150" s="58">
        <f t="shared" si="19"/>
        <v>140</v>
      </c>
      <c r="C150" s="58">
        <f t="shared" si="20"/>
        <v>2463055.3814838883</v>
      </c>
      <c r="D150" s="59">
        <f t="shared" si="21"/>
        <v>19793.881511166648</v>
      </c>
      <c r="E150" s="59">
        <f t="shared" si="22"/>
        <v>8210.1846049462947</v>
      </c>
      <c r="F150" s="59">
        <f t="shared" si="23"/>
        <v>11583.696906220353</v>
      </c>
      <c r="G150" s="59">
        <f t="shared" si="24"/>
        <v>2451471.6845776681</v>
      </c>
      <c r="H150" s="60">
        <f t="shared" si="25"/>
        <v>0.41478396242366855</v>
      </c>
      <c r="I150" s="60">
        <f t="shared" si="26"/>
        <v>0.58521603757633145</v>
      </c>
    </row>
    <row r="151" spans="2:9" x14ac:dyDescent="0.25">
      <c r="B151" s="58">
        <f t="shared" si="19"/>
        <v>141</v>
      </c>
      <c r="C151" s="58">
        <f t="shared" si="20"/>
        <v>2451471.6845776681</v>
      </c>
      <c r="D151" s="59">
        <f t="shared" si="21"/>
        <v>19793.881511166648</v>
      </c>
      <c r="E151" s="59">
        <f t="shared" si="22"/>
        <v>8171.5722819255607</v>
      </c>
      <c r="F151" s="59">
        <f t="shared" si="23"/>
        <v>11622.309229241087</v>
      </c>
      <c r="G151" s="59">
        <f t="shared" si="24"/>
        <v>2439849.3753484269</v>
      </c>
      <c r="H151" s="60">
        <f t="shared" si="25"/>
        <v>0.41283324229841412</v>
      </c>
      <c r="I151" s="60">
        <f t="shared" si="26"/>
        <v>0.58716675770158588</v>
      </c>
    </row>
    <row r="152" spans="2:9" x14ac:dyDescent="0.25">
      <c r="B152" s="58">
        <f t="shared" si="19"/>
        <v>142</v>
      </c>
      <c r="C152" s="58">
        <f t="shared" si="20"/>
        <v>2439849.3753484269</v>
      </c>
      <c r="D152" s="59">
        <f t="shared" si="21"/>
        <v>19793.881511166648</v>
      </c>
      <c r="E152" s="59">
        <f t="shared" si="22"/>
        <v>8132.8312511614231</v>
      </c>
      <c r="F152" s="59">
        <f t="shared" si="23"/>
        <v>11661.050260005224</v>
      </c>
      <c r="G152" s="59">
        <f t="shared" si="24"/>
        <v>2428188.3250884218</v>
      </c>
      <c r="H152" s="60">
        <f t="shared" si="25"/>
        <v>0.41087601977274213</v>
      </c>
      <c r="I152" s="60">
        <f t="shared" si="26"/>
        <v>0.58912398022725776</v>
      </c>
    </row>
    <row r="153" spans="2:9" x14ac:dyDescent="0.25">
      <c r="B153" s="58">
        <f t="shared" si="19"/>
        <v>143</v>
      </c>
      <c r="C153" s="58">
        <f t="shared" si="20"/>
        <v>2428188.3250884218</v>
      </c>
      <c r="D153" s="59">
        <f t="shared" si="21"/>
        <v>19793.881511166648</v>
      </c>
      <c r="E153" s="59">
        <f t="shared" si="22"/>
        <v>8093.9610836280735</v>
      </c>
      <c r="F153" s="59">
        <f t="shared" si="23"/>
        <v>11699.920427538575</v>
      </c>
      <c r="G153" s="59">
        <f t="shared" si="24"/>
        <v>2416488.4046608834</v>
      </c>
      <c r="H153" s="60">
        <f t="shared" si="25"/>
        <v>0.4089122731719847</v>
      </c>
      <c r="I153" s="60">
        <f t="shared" si="26"/>
        <v>0.59108772682801536</v>
      </c>
    </row>
    <row r="154" spans="2:9" x14ac:dyDescent="0.25">
      <c r="B154" s="58">
        <f t="shared" si="19"/>
        <v>144</v>
      </c>
      <c r="C154" s="58">
        <f t="shared" si="20"/>
        <v>2416488.4046608834</v>
      </c>
      <c r="D154" s="59">
        <f t="shared" si="21"/>
        <v>19793.881511166648</v>
      </c>
      <c r="E154" s="59">
        <f t="shared" si="22"/>
        <v>8054.9613488696114</v>
      </c>
      <c r="F154" s="59">
        <f t="shared" si="23"/>
        <v>11738.920162297036</v>
      </c>
      <c r="G154" s="59">
        <f t="shared" si="24"/>
        <v>2404749.4844985865</v>
      </c>
      <c r="H154" s="60">
        <f t="shared" si="25"/>
        <v>0.40694198074922461</v>
      </c>
      <c r="I154" s="60">
        <f t="shared" si="26"/>
        <v>0.59305801925077528</v>
      </c>
    </row>
    <row r="155" spans="2:9" x14ac:dyDescent="0.25">
      <c r="B155" s="58">
        <f t="shared" si="19"/>
        <v>145</v>
      </c>
      <c r="C155" s="58">
        <f t="shared" si="20"/>
        <v>2404749.4844985865</v>
      </c>
      <c r="D155" s="59">
        <f t="shared" si="21"/>
        <v>19793.881511166648</v>
      </c>
      <c r="E155" s="59">
        <f t="shared" si="22"/>
        <v>8015.8316149952889</v>
      </c>
      <c r="F155" s="59">
        <f t="shared" si="23"/>
        <v>11778.04989617136</v>
      </c>
      <c r="G155" s="59">
        <f t="shared" si="24"/>
        <v>2392971.4346024152</v>
      </c>
      <c r="H155" s="60">
        <f t="shared" si="25"/>
        <v>0.40496512068505541</v>
      </c>
      <c r="I155" s="60">
        <f t="shared" si="26"/>
        <v>0.59503487931494459</v>
      </c>
    </row>
    <row r="156" spans="2:9" x14ac:dyDescent="0.25">
      <c r="B156" s="58">
        <f t="shared" si="19"/>
        <v>146</v>
      </c>
      <c r="C156" s="58">
        <f t="shared" si="20"/>
        <v>2392971.4346024152</v>
      </c>
      <c r="D156" s="59">
        <f t="shared" si="21"/>
        <v>19793.881511166648</v>
      </c>
      <c r="E156" s="59">
        <f t="shared" si="22"/>
        <v>7976.5714486747174</v>
      </c>
      <c r="F156" s="59">
        <f t="shared" si="23"/>
        <v>11817.310062491932</v>
      </c>
      <c r="G156" s="59">
        <f t="shared" si="24"/>
        <v>2381154.1245399234</v>
      </c>
      <c r="H156" s="60">
        <f t="shared" si="25"/>
        <v>0.40298167108733896</v>
      </c>
      <c r="I156" s="60">
        <f t="shared" si="26"/>
        <v>0.59701832891266116</v>
      </c>
    </row>
    <row r="157" spans="2:9" x14ac:dyDescent="0.25">
      <c r="B157" s="58">
        <f t="shared" si="19"/>
        <v>147</v>
      </c>
      <c r="C157" s="58">
        <f t="shared" si="20"/>
        <v>2381154.1245399234</v>
      </c>
      <c r="D157" s="59">
        <f t="shared" si="21"/>
        <v>19793.881511166648</v>
      </c>
      <c r="E157" s="59">
        <f t="shared" si="22"/>
        <v>7937.1804151330789</v>
      </c>
      <c r="F157" s="59">
        <f t="shared" si="23"/>
        <v>11856.701096033568</v>
      </c>
      <c r="G157" s="59">
        <f t="shared" si="24"/>
        <v>2369297.4234438897</v>
      </c>
      <c r="H157" s="60">
        <f t="shared" si="25"/>
        <v>0.40099160999096345</v>
      </c>
      <c r="I157" s="60">
        <f t="shared" si="26"/>
        <v>0.5990083900090365</v>
      </c>
    </row>
    <row r="158" spans="2:9" x14ac:dyDescent="0.25">
      <c r="B158" s="58">
        <f t="shared" si="19"/>
        <v>148</v>
      </c>
      <c r="C158" s="58">
        <f t="shared" si="20"/>
        <v>2369297.4234438897</v>
      </c>
      <c r="D158" s="59">
        <f t="shared" si="21"/>
        <v>19793.881511166648</v>
      </c>
      <c r="E158" s="59">
        <f t="shared" si="22"/>
        <v>7897.6580781462999</v>
      </c>
      <c r="F158" s="59">
        <f t="shared" si="23"/>
        <v>11896.223433020348</v>
      </c>
      <c r="G158" s="59">
        <f t="shared" si="24"/>
        <v>2357401.2000108692</v>
      </c>
      <c r="H158" s="60">
        <f t="shared" si="25"/>
        <v>0.39899491535759996</v>
      </c>
      <c r="I158" s="60">
        <f t="shared" si="26"/>
        <v>0.60100508464239999</v>
      </c>
    </row>
    <row r="159" spans="2:9" x14ac:dyDescent="0.25">
      <c r="B159" s="58">
        <f t="shared" si="19"/>
        <v>149</v>
      </c>
      <c r="C159" s="58">
        <f t="shared" si="20"/>
        <v>2357401.2000108692</v>
      </c>
      <c r="D159" s="59">
        <f t="shared" si="21"/>
        <v>19793.881511166648</v>
      </c>
      <c r="E159" s="59">
        <f t="shared" si="22"/>
        <v>7858.0040000362314</v>
      </c>
      <c r="F159" s="59">
        <f t="shared" si="23"/>
        <v>11935.877511130417</v>
      </c>
      <c r="G159" s="59">
        <f t="shared" si="24"/>
        <v>2345465.3224997385</v>
      </c>
      <c r="H159" s="60">
        <f t="shared" si="25"/>
        <v>0.39699156507545863</v>
      </c>
      <c r="I159" s="60">
        <f t="shared" si="26"/>
        <v>0.60300843492454137</v>
      </c>
    </row>
    <row r="160" spans="2:9" x14ac:dyDescent="0.25">
      <c r="B160" s="58">
        <f t="shared" si="19"/>
        <v>150</v>
      </c>
      <c r="C160" s="58">
        <f t="shared" si="20"/>
        <v>2345465.3224997385</v>
      </c>
      <c r="D160" s="59">
        <f t="shared" si="21"/>
        <v>19793.881511166648</v>
      </c>
      <c r="E160" s="59">
        <f t="shared" si="22"/>
        <v>7818.217741665796</v>
      </c>
      <c r="F160" s="59">
        <f t="shared" si="23"/>
        <v>11975.663769500852</v>
      </c>
      <c r="G160" s="59">
        <f t="shared" si="24"/>
        <v>2333489.6587302377</v>
      </c>
      <c r="H160" s="60">
        <f t="shared" si="25"/>
        <v>0.39498153695904342</v>
      </c>
      <c r="I160" s="60">
        <f t="shared" si="26"/>
        <v>0.60501846304095652</v>
      </c>
    </row>
    <row r="161" spans="2:9" x14ac:dyDescent="0.25">
      <c r="B161" s="58">
        <f t="shared" si="19"/>
        <v>151</v>
      </c>
      <c r="C161" s="58">
        <f t="shared" si="20"/>
        <v>2333489.6587302377</v>
      </c>
      <c r="D161" s="59">
        <f t="shared" si="21"/>
        <v>19793.881511166648</v>
      </c>
      <c r="E161" s="59">
        <f t="shared" si="22"/>
        <v>7778.298862434126</v>
      </c>
      <c r="F161" s="59">
        <f t="shared" si="23"/>
        <v>12015.582648732521</v>
      </c>
      <c r="G161" s="59">
        <f t="shared" si="24"/>
        <v>2321474.076081505</v>
      </c>
      <c r="H161" s="60">
        <f t="shared" si="25"/>
        <v>0.39296480874890688</v>
      </c>
      <c r="I161" s="60">
        <f t="shared" si="26"/>
        <v>0.60703519125109306</v>
      </c>
    </row>
    <row r="162" spans="2:9" x14ac:dyDescent="0.25">
      <c r="B162" s="58">
        <f t="shared" si="19"/>
        <v>152</v>
      </c>
      <c r="C162" s="58">
        <f t="shared" si="20"/>
        <v>2321474.076081505</v>
      </c>
      <c r="D162" s="59">
        <f t="shared" si="21"/>
        <v>19793.881511166648</v>
      </c>
      <c r="E162" s="59">
        <f t="shared" si="22"/>
        <v>7738.2469202716838</v>
      </c>
      <c r="F162" s="59">
        <f t="shared" si="23"/>
        <v>12055.634590894964</v>
      </c>
      <c r="G162" s="59">
        <f t="shared" si="24"/>
        <v>2309418.4414906101</v>
      </c>
      <c r="H162" s="60">
        <f t="shared" si="25"/>
        <v>0.39094135811140324</v>
      </c>
      <c r="I162" s="60">
        <f t="shared" si="26"/>
        <v>0.60905864188859682</v>
      </c>
    </row>
    <row r="163" spans="2:9" x14ac:dyDescent="0.25">
      <c r="B163" s="58">
        <f t="shared" si="19"/>
        <v>153</v>
      </c>
      <c r="C163" s="58">
        <f t="shared" si="20"/>
        <v>2309418.4414906101</v>
      </c>
      <c r="D163" s="59">
        <f t="shared" si="21"/>
        <v>19793.881511166648</v>
      </c>
      <c r="E163" s="59">
        <f t="shared" si="22"/>
        <v>7698.0614716353675</v>
      </c>
      <c r="F163" s="59">
        <f t="shared" si="23"/>
        <v>12095.820039531282</v>
      </c>
      <c r="G163" s="59">
        <f t="shared" si="24"/>
        <v>2297322.6214510789</v>
      </c>
      <c r="H163" s="60">
        <f t="shared" si="25"/>
        <v>0.38891116263844122</v>
      </c>
      <c r="I163" s="60">
        <f t="shared" si="26"/>
        <v>0.61108883736155883</v>
      </c>
    </row>
    <row r="164" spans="2:9" x14ac:dyDescent="0.25">
      <c r="B164" s="58">
        <f t="shared" si="19"/>
        <v>154</v>
      </c>
      <c r="C164" s="58">
        <f t="shared" si="20"/>
        <v>2297322.6214510789</v>
      </c>
      <c r="D164" s="59">
        <f t="shared" si="21"/>
        <v>19793.881511166648</v>
      </c>
      <c r="E164" s="59">
        <f t="shared" si="22"/>
        <v>7657.7420715035969</v>
      </c>
      <c r="F164" s="59">
        <f t="shared" si="23"/>
        <v>12136.139439663051</v>
      </c>
      <c r="G164" s="59">
        <f t="shared" si="24"/>
        <v>2285186.482011416</v>
      </c>
      <c r="H164" s="60">
        <f t="shared" si="25"/>
        <v>0.38687419984723609</v>
      </c>
      <c r="I164" s="60">
        <f t="shared" si="26"/>
        <v>0.61312580015276397</v>
      </c>
    </row>
    <row r="165" spans="2:9" x14ac:dyDescent="0.25">
      <c r="B165" s="58">
        <f t="shared" si="19"/>
        <v>155</v>
      </c>
      <c r="C165" s="58">
        <f t="shared" si="20"/>
        <v>2285186.482011416</v>
      </c>
      <c r="D165" s="59">
        <f t="shared" si="21"/>
        <v>19793.881511166648</v>
      </c>
      <c r="E165" s="59">
        <f t="shared" si="22"/>
        <v>7617.2882733713868</v>
      </c>
      <c r="F165" s="59">
        <f t="shared" si="23"/>
        <v>12176.593237795261</v>
      </c>
      <c r="G165" s="59">
        <f t="shared" si="24"/>
        <v>2273009.8887736206</v>
      </c>
      <c r="H165" s="60">
        <f t="shared" si="25"/>
        <v>0.38483044718006021</v>
      </c>
      <c r="I165" s="60">
        <f t="shared" si="26"/>
        <v>0.61516955281993979</v>
      </c>
    </row>
    <row r="166" spans="2:9" x14ac:dyDescent="0.25">
      <c r="B166" s="58">
        <f t="shared" si="19"/>
        <v>156</v>
      </c>
      <c r="C166" s="58">
        <f t="shared" si="20"/>
        <v>2273009.8887736206</v>
      </c>
      <c r="D166" s="59">
        <f t="shared" si="21"/>
        <v>19793.881511166648</v>
      </c>
      <c r="E166" s="59">
        <f t="shared" si="22"/>
        <v>7576.6996292454023</v>
      </c>
      <c r="F166" s="59">
        <f t="shared" si="23"/>
        <v>12217.181881921246</v>
      </c>
      <c r="G166" s="59">
        <f t="shared" si="24"/>
        <v>2260792.7068916992</v>
      </c>
      <c r="H166" s="60">
        <f t="shared" si="25"/>
        <v>0.38277988200399371</v>
      </c>
      <c r="I166" s="60">
        <f t="shared" si="26"/>
        <v>0.61722011799600629</v>
      </c>
    </row>
    <row r="167" spans="2:9" x14ac:dyDescent="0.25">
      <c r="B167" s="58">
        <f t="shared" si="19"/>
        <v>157</v>
      </c>
      <c r="C167" s="58">
        <f t="shared" si="20"/>
        <v>2260792.7068916992</v>
      </c>
      <c r="D167" s="59">
        <f t="shared" si="21"/>
        <v>19793.881511166648</v>
      </c>
      <c r="E167" s="59">
        <f t="shared" si="22"/>
        <v>7535.9756896389981</v>
      </c>
      <c r="F167" s="59">
        <f t="shared" si="23"/>
        <v>12257.905821527649</v>
      </c>
      <c r="G167" s="59">
        <f t="shared" si="24"/>
        <v>2248534.8010701714</v>
      </c>
      <c r="H167" s="60">
        <f t="shared" si="25"/>
        <v>0.38072248161067368</v>
      </c>
      <c r="I167" s="60">
        <f t="shared" si="26"/>
        <v>0.61927751838932632</v>
      </c>
    </row>
    <row r="168" spans="2:9" x14ac:dyDescent="0.25">
      <c r="B168" s="58">
        <f t="shared" si="19"/>
        <v>158</v>
      </c>
      <c r="C168" s="58">
        <f t="shared" si="20"/>
        <v>2248534.8010701714</v>
      </c>
      <c r="D168" s="59">
        <f t="shared" si="21"/>
        <v>19793.881511166648</v>
      </c>
      <c r="E168" s="59">
        <f t="shared" si="22"/>
        <v>7495.1160035672383</v>
      </c>
      <c r="F168" s="59">
        <f t="shared" si="23"/>
        <v>12298.76550759941</v>
      </c>
      <c r="G168" s="59">
        <f t="shared" si="24"/>
        <v>2236236.0355625721</v>
      </c>
      <c r="H168" s="60">
        <f t="shared" si="25"/>
        <v>0.37865822321604253</v>
      </c>
      <c r="I168" s="60">
        <f t="shared" si="26"/>
        <v>0.62134177678395741</v>
      </c>
    </row>
    <row r="169" spans="2:9" x14ac:dyDescent="0.25">
      <c r="B169" s="58">
        <f t="shared" si="19"/>
        <v>159</v>
      </c>
      <c r="C169" s="58">
        <f t="shared" si="20"/>
        <v>2236236.0355625721</v>
      </c>
      <c r="D169" s="59">
        <f t="shared" si="21"/>
        <v>19793.881511166648</v>
      </c>
      <c r="E169" s="59">
        <f t="shared" si="22"/>
        <v>7454.1201185419077</v>
      </c>
      <c r="F169" s="59">
        <f t="shared" si="23"/>
        <v>12339.76139262474</v>
      </c>
      <c r="G169" s="59">
        <f t="shared" si="24"/>
        <v>2223896.2741699475</v>
      </c>
      <c r="H169" s="60">
        <f t="shared" si="25"/>
        <v>0.37658708396009605</v>
      </c>
      <c r="I169" s="60">
        <f t="shared" si="26"/>
        <v>0.6234129160399039</v>
      </c>
    </row>
    <row r="170" spans="2:9" x14ac:dyDescent="0.25">
      <c r="B170" s="58">
        <f t="shared" si="19"/>
        <v>160</v>
      </c>
      <c r="C170" s="58">
        <f t="shared" si="20"/>
        <v>2223896.2741699475</v>
      </c>
      <c r="D170" s="59">
        <f t="shared" si="21"/>
        <v>19793.881511166648</v>
      </c>
      <c r="E170" s="59">
        <f t="shared" si="22"/>
        <v>7412.9875805664924</v>
      </c>
      <c r="F170" s="59">
        <f t="shared" si="23"/>
        <v>12380.893930600156</v>
      </c>
      <c r="G170" s="59">
        <f t="shared" si="24"/>
        <v>2211515.3802393475</v>
      </c>
      <c r="H170" s="60">
        <f t="shared" si="25"/>
        <v>0.37450904090662973</v>
      </c>
      <c r="I170" s="60">
        <f t="shared" si="26"/>
        <v>0.62549095909337027</v>
      </c>
    </row>
    <row r="171" spans="2:9" x14ac:dyDescent="0.25">
      <c r="B171" s="58">
        <f t="shared" si="19"/>
        <v>161</v>
      </c>
      <c r="C171" s="58">
        <f t="shared" si="20"/>
        <v>2211515.3802393475</v>
      </c>
      <c r="D171" s="59">
        <f t="shared" si="21"/>
        <v>19793.881511166648</v>
      </c>
      <c r="E171" s="59">
        <f t="shared" si="22"/>
        <v>7371.7179341311585</v>
      </c>
      <c r="F171" s="59">
        <f t="shared" si="23"/>
        <v>12422.16357703549</v>
      </c>
      <c r="G171" s="59">
        <f t="shared" si="24"/>
        <v>2199093.2166623119</v>
      </c>
      <c r="H171" s="60">
        <f t="shared" si="25"/>
        <v>0.37242407104298519</v>
      </c>
      <c r="I171" s="60">
        <f t="shared" si="26"/>
        <v>0.62757592895701486</v>
      </c>
    </row>
    <row r="172" spans="2:9" x14ac:dyDescent="0.25">
      <c r="B172" s="58">
        <f t="shared" si="19"/>
        <v>162</v>
      </c>
      <c r="C172" s="58">
        <f t="shared" si="20"/>
        <v>2199093.2166623119</v>
      </c>
      <c r="D172" s="59">
        <f t="shared" si="21"/>
        <v>19793.881511166648</v>
      </c>
      <c r="E172" s="59">
        <f t="shared" si="22"/>
        <v>7330.3107222077069</v>
      </c>
      <c r="F172" s="59">
        <f t="shared" si="23"/>
        <v>12463.570788958941</v>
      </c>
      <c r="G172" s="59">
        <f t="shared" si="24"/>
        <v>2186629.6458733529</v>
      </c>
      <c r="H172" s="60">
        <f t="shared" si="25"/>
        <v>0.37033215127979513</v>
      </c>
      <c r="I172" s="60">
        <f t="shared" si="26"/>
        <v>0.62966784872020487</v>
      </c>
    </row>
    <row r="173" spans="2:9" x14ac:dyDescent="0.25">
      <c r="B173" s="58">
        <f t="shared" si="19"/>
        <v>163</v>
      </c>
      <c r="C173" s="58">
        <f t="shared" si="20"/>
        <v>2186629.6458733529</v>
      </c>
      <c r="D173" s="59">
        <f t="shared" si="21"/>
        <v>19793.881511166648</v>
      </c>
      <c r="E173" s="59">
        <f t="shared" si="22"/>
        <v>7288.7654862445097</v>
      </c>
      <c r="F173" s="59">
        <f t="shared" si="23"/>
        <v>12505.116024922139</v>
      </c>
      <c r="G173" s="59">
        <f t="shared" si="24"/>
        <v>2174124.5298484308</v>
      </c>
      <c r="H173" s="60">
        <f t="shared" si="25"/>
        <v>0.36823325845072774</v>
      </c>
      <c r="I173" s="60">
        <f t="shared" si="26"/>
        <v>0.63176674154927226</v>
      </c>
    </row>
    <row r="174" spans="2:9" x14ac:dyDescent="0.25">
      <c r="B174" s="58">
        <f t="shared" si="19"/>
        <v>164</v>
      </c>
      <c r="C174" s="58">
        <f t="shared" si="20"/>
        <v>2174124.5298484308</v>
      </c>
      <c r="D174" s="59">
        <f t="shared" si="21"/>
        <v>19793.881511166648</v>
      </c>
      <c r="E174" s="59">
        <f t="shared" si="22"/>
        <v>7247.0817661614365</v>
      </c>
      <c r="F174" s="59">
        <f t="shared" si="23"/>
        <v>12546.799745005212</v>
      </c>
      <c r="G174" s="59">
        <f t="shared" si="24"/>
        <v>2161577.7301034257</v>
      </c>
      <c r="H174" s="60">
        <f t="shared" si="25"/>
        <v>0.36612736931223017</v>
      </c>
      <c r="I174" s="60">
        <f t="shared" si="26"/>
        <v>0.63387263068776978</v>
      </c>
    </row>
    <row r="175" spans="2:9" x14ac:dyDescent="0.25">
      <c r="B175" s="58">
        <f t="shared" si="19"/>
        <v>165</v>
      </c>
      <c r="C175" s="58">
        <f t="shared" si="20"/>
        <v>2161577.7301034257</v>
      </c>
      <c r="D175" s="59">
        <f t="shared" si="21"/>
        <v>19793.881511166648</v>
      </c>
      <c r="E175" s="59">
        <f t="shared" si="22"/>
        <v>7205.2591003447524</v>
      </c>
      <c r="F175" s="59">
        <f t="shared" si="23"/>
        <v>12588.622410821896</v>
      </c>
      <c r="G175" s="59">
        <f t="shared" si="24"/>
        <v>2148989.107692604</v>
      </c>
      <c r="H175" s="60">
        <f t="shared" si="25"/>
        <v>0.36401446054327097</v>
      </c>
      <c r="I175" s="60">
        <f t="shared" si="26"/>
        <v>0.63598553945672909</v>
      </c>
    </row>
    <row r="176" spans="2:9" x14ac:dyDescent="0.25">
      <c r="B176" s="58">
        <f t="shared" si="19"/>
        <v>166</v>
      </c>
      <c r="C176" s="58">
        <f t="shared" si="20"/>
        <v>2148989.107692604</v>
      </c>
      <c r="D176" s="59">
        <f t="shared" si="21"/>
        <v>19793.881511166648</v>
      </c>
      <c r="E176" s="59">
        <f t="shared" si="22"/>
        <v>7163.297025642014</v>
      </c>
      <c r="F176" s="59">
        <f t="shared" si="23"/>
        <v>12630.584485524634</v>
      </c>
      <c r="G176" s="59">
        <f t="shared" si="24"/>
        <v>2136358.5232070792</v>
      </c>
      <c r="H176" s="60">
        <f t="shared" si="25"/>
        <v>0.36189450874508194</v>
      </c>
      <c r="I176" s="60">
        <f t="shared" si="26"/>
        <v>0.63810549125491811</v>
      </c>
    </row>
    <row r="177" spans="2:9" x14ac:dyDescent="0.25">
      <c r="B177" s="58">
        <f t="shared" si="19"/>
        <v>167</v>
      </c>
      <c r="C177" s="58">
        <f t="shared" si="20"/>
        <v>2136358.5232070792</v>
      </c>
      <c r="D177" s="59">
        <f t="shared" si="21"/>
        <v>19793.881511166648</v>
      </c>
      <c r="E177" s="59">
        <f t="shared" si="22"/>
        <v>7121.1950773569306</v>
      </c>
      <c r="F177" s="59">
        <f t="shared" si="23"/>
        <v>12672.686433809718</v>
      </c>
      <c r="G177" s="59">
        <f t="shared" si="24"/>
        <v>2123685.8367732693</v>
      </c>
      <c r="H177" s="60">
        <f t="shared" si="25"/>
        <v>0.35976749044089879</v>
      </c>
      <c r="I177" s="60">
        <f t="shared" si="26"/>
        <v>0.64023250955910127</v>
      </c>
    </row>
    <row r="178" spans="2:9" x14ac:dyDescent="0.25">
      <c r="B178" s="58">
        <f t="shared" si="19"/>
        <v>168</v>
      </c>
      <c r="C178" s="58">
        <f t="shared" si="20"/>
        <v>2123685.8367732693</v>
      </c>
      <c r="D178" s="59">
        <f t="shared" si="21"/>
        <v>19793.881511166648</v>
      </c>
      <c r="E178" s="59">
        <f t="shared" si="22"/>
        <v>7078.952789244232</v>
      </c>
      <c r="F178" s="59">
        <f t="shared" si="23"/>
        <v>12714.928721922417</v>
      </c>
      <c r="G178" s="59">
        <f t="shared" si="24"/>
        <v>2110970.9080513469</v>
      </c>
      <c r="H178" s="60">
        <f t="shared" si="25"/>
        <v>0.35763338207570183</v>
      </c>
      <c r="I178" s="60">
        <f t="shared" si="26"/>
        <v>0.64236661792429828</v>
      </c>
    </row>
    <row r="179" spans="2:9" x14ac:dyDescent="0.25">
      <c r="B179" s="58">
        <f t="shared" si="19"/>
        <v>169</v>
      </c>
      <c r="C179" s="58">
        <f t="shared" si="20"/>
        <v>2110970.9080513469</v>
      </c>
      <c r="D179" s="59">
        <f t="shared" si="21"/>
        <v>19793.881511166648</v>
      </c>
      <c r="E179" s="59">
        <f t="shared" si="22"/>
        <v>7036.5696935044898</v>
      </c>
      <c r="F179" s="59">
        <f t="shared" si="23"/>
        <v>12757.311817662157</v>
      </c>
      <c r="G179" s="59">
        <f t="shared" si="24"/>
        <v>2098213.5962336846</v>
      </c>
      <c r="H179" s="60">
        <f t="shared" si="25"/>
        <v>0.35549216001595413</v>
      </c>
      <c r="I179" s="60">
        <f t="shared" si="26"/>
        <v>0.64450783998404582</v>
      </c>
    </row>
    <row r="180" spans="2:9" x14ac:dyDescent="0.25">
      <c r="B180" s="58">
        <f t="shared" si="19"/>
        <v>170</v>
      </c>
      <c r="C180" s="58">
        <f t="shared" si="20"/>
        <v>2098213.5962336846</v>
      </c>
      <c r="D180" s="59">
        <f t="shared" si="21"/>
        <v>19793.881511166648</v>
      </c>
      <c r="E180" s="59">
        <f t="shared" si="22"/>
        <v>6994.0453207789487</v>
      </c>
      <c r="F180" s="59">
        <f t="shared" si="23"/>
        <v>12799.836190387699</v>
      </c>
      <c r="G180" s="59">
        <f t="shared" si="24"/>
        <v>2085413.760043297</v>
      </c>
      <c r="H180" s="60">
        <f t="shared" si="25"/>
        <v>0.35334380054934061</v>
      </c>
      <c r="I180" s="60">
        <f t="shared" si="26"/>
        <v>0.64665619945065944</v>
      </c>
    </row>
    <row r="181" spans="2:9" x14ac:dyDescent="0.25">
      <c r="B181" s="58">
        <f t="shared" si="19"/>
        <v>171</v>
      </c>
      <c r="C181" s="58">
        <f t="shared" si="20"/>
        <v>2085413.760043297</v>
      </c>
      <c r="D181" s="59">
        <f t="shared" si="21"/>
        <v>19793.881511166648</v>
      </c>
      <c r="E181" s="59">
        <f t="shared" si="22"/>
        <v>6951.3792001443235</v>
      </c>
      <c r="F181" s="59">
        <f t="shared" si="23"/>
        <v>12842.502311022325</v>
      </c>
      <c r="G181" s="59">
        <f t="shared" si="24"/>
        <v>2072571.2577322747</v>
      </c>
      <c r="H181" s="60">
        <f t="shared" si="25"/>
        <v>0.35118827988450507</v>
      </c>
      <c r="I181" s="60">
        <f t="shared" si="26"/>
        <v>0.64881172011549493</v>
      </c>
    </row>
    <row r="182" spans="2:9" x14ac:dyDescent="0.25">
      <c r="B182" s="58">
        <f t="shared" si="19"/>
        <v>172</v>
      </c>
      <c r="C182" s="58">
        <f t="shared" si="20"/>
        <v>2072571.2577322747</v>
      </c>
      <c r="D182" s="59">
        <f t="shared" si="21"/>
        <v>19793.881511166648</v>
      </c>
      <c r="E182" s="59">
        <f t="shared" si="22"/>
        <v>6908.5708591075827</v>
      </c>
      <c r="F182" s="59">
        <f t="shared" si="23"/>
        <v>12885.310652059066</v>
      </c>
      <c r="G182" s="59">
        <f t="shared" si="24"/>
        <v>2059685.9470802157</v>
      </c>
      <c r="H182" s="60">
        <f t="shared" si="25"/>
        <v>0.34902557415078678</v>
      </c>
      <c r="I182" s="60">
        <f t="shared" si="26"/>
        <v>0.65097442584921328</v>
      </c>
    </row>
    <row r="183" spans="2:9" x14ac:dyDescent="0.25">
      <c r="B183" s="58">
        <f t="shared" si="19"/>
        <v>173</v>
      </c>
      <c r="C183" s="58">
        <f t="shared" si="20"/>
        <v>2059685.9470802157</v>
      </c>
      <c r="D183" s="59">
        <f t="shared" si="21"/>
        <v>19793.881511166648</v>
      </c>
      <c r="E183" s="59">
        <f t="shared" si="22"/>
        <v>6865.6198236007194</v>
      </c>
      <c r="F183" s="59">
        <f t="shared" si="23"/>
        <v>12928.26168756593</v>
      </c>
      <c r="G183" s="59">
        <f t="shared" si="24"/>
        <v>2046757.6853926498</v>
      </c>
      <c r="H183" s="60">
        <f t="shared" si="25"/>
        <v>0.3468556593979561</v>
      </c>
      <c r="I183" s="60">
        <f t="shared" si="26"/>
        <v>0.65314434060204396</v>
      </c>
    </row>
    <row r="184" spans="2:9" x14ac:dyDescent="0.25">
      <c r="B184" s="58">
        <f t="shared" si="19"/>
        <v>174</v>
      </c>
      <c r="C184" s="58">
        <f t="shared" si="20"/>
        <v>2046757.6853926498</v>
      </c>
      <c r="D184" s="59">
        <f t="shared" si="21"/>
        <v>19793.881511166648</v>
      </c>
      <c r="E184" s="59">
        <f t="shared" si="22"/>
        <v>6822.5256179754997</v>
      </c>
      <c r="F184" s="59">
        <f t="shared" si="23"/>
        <v>12971.355893191148</v>
      </c>
      <c r="G184" s="59">
        <f t="shared" si="24"/>
        <v>2033786.3294994587</v>
      </c>
      <c r="H184" s="60">
        <f t="shared" si="25"/>
        <v>0.34467851159594931</v>
      </c>
      <c r="I184" s="60">
        <f t="shared" si="26"/>
        <v>0.65532148840405069</v>
      </c>
    </row>
    <row r="185" spans="2:9" x14ac:dyDescent="0.25">
      <c r="B185" s="58">
        <f t="shared" si="19"/>
        <v>175</v>
      </c>
      <c r="C185" s="58">
        <f t="shared" si="20"/>
        <v>2033786.3294994587</v>
      </c>
      <c r="D185" s="59">
        <f t="shared" si="21"/>
        <v>19793.881511166648</v>
      </c>
      <c r="E185" s="59">
        <f t="shared" si="22"/>
        <v>6779.2877649981956</v>
      </c>
      <c r="F185" s="59">
        <f t="shared" si="23"/>
        <v>13014.593746168452</v>
      </c>
      <c r="G185" s="59">
        <f t="shared" si="24"/>
        <v>2020771.7357532901</v>
      </c>
      <c r="H185" s="60">
        <f t="shared" si="25"/>
        <v>0.34249410663460245</v>
      </c>
      <c r="I185" s="60">
        <f t="shared" si="26"/>
        <v>0.65750589336539755</v>
      </c>
    </row>
    <row r="186" spans="2:9" x14ac:dyDescent="0.25">
      <c r="B186" s="58">
        <f t="shared" si="19"/>
        <v>176</v>
      </c>
      <c r="C186" s="58">
        <f t="shared" si="20"/>
        <v>2020771.7357532901</v>
      </c>
      <c r="D186" s="59">
        <f t="shared" si="21"/>
        <v>19793.881511166648</v>
      </c>
      <c r="E186" s="59">
        <f t="shared" si="22"/>
        <v>6735.9057858443011</v>
      </c>
      <c r="F186" s="59">
        <f t="shared" si="23"/>
        <v>13057.975725322347</v>
      </c>
      <c r="G186" s="59">
        <f t="shared" si="24"/>
        <v>2007713.7600279679</v>
      </c>
      <c r="H186" s="60">
        <f t="shared" si="25"/>
        <v>0.34030242032338448</v>
      </c>
      <c r="I186" s="60">
        <f t="shared" si="26"/>
        <v>0.65969757967661558</v>
      </c>
    </row>
    <row r="187" spans="2:9" x14ac:dyDescent="0.25">
      <c r="B187" s="58">
        <f t="shared" si="19"/>
        <v>177</v>
      </c>
      <c r="C187" s="58">
        <f t="shared" si="20"/>
        <v>2007713.7600279679</v>
      </c>
      <c r="D187" s="59">
        <f t="shared" si="21"/>
        <v>19793.881511166648</v>
      </c>
      <c r="E187" s="59">
        <f t="shared" si="22"/>
        <v>6692.3792000932262</v>
      </c>
      <c r="F187" s="59">
        <f t="shared" si="23"/>
        <v>13101.502311073422</v>
      </c>
      <c r="G187" s="59">
        <f t="shared" si="24"/>
        <v>1994612.2577168944</v>
      </c>
      <c r="H187" s="60">
        <f t="shared" si="25"/>
        <v>0.33810342839112906</v>
      </c>
      <c r="I187" s="60">
        <f t="shared" si="26"/>
        <v>0.66189657160887094</v>
      </c>
    </row>
    <row r="188" spans="2:9" x14ac:dyDescent="0.25">
      <c r="B188" s="58">
        <f t="shared" si="19"/>
        <v>178</v>
      </c>
      <c r="C188" s="58">
        <f t="shared" si="20"/>
        <v>1994612.2577168944</v>
      </c>
      <c r="D188" s="59">
        <f t="shared" si="21"/>
        <v>19793.881511166648</v>
      </c>
      <c r="E188" s="59">
        <f t="shared" si="22"/>
        <v>6648.7075257229817</v>
      </c>
      <c r="F188" s="59">
        <f t="shared" si="23"/>
        <v>13145.173985443667</v>
      </c>
      <c r="G188" s="59">
        <f t="shared" si="24"/>
        <v>1981467.0837314506</v>
      </c>
      <c r="H188" s="60">
        <f t="shared" si="25"/>
        <v>0.33589710648576615</v>
      </c>
      <c r="I188" s="60">
        <f t="shared" si="26"/>
        <v>0.66410289351423391</v>
      </c>
    </row>
    <row r="189" spans="2:9" x14ac:dyDescent="0.25">
      <c r="B189" s="58">
        <f t="shared" si="19"/>
        <v>179</v>
      </c>
      <c r="C189" s="58">
        <f t="shared" si="20"/>
        <v>1981467.0837314506</v>
      </c>
      <c r="D189" s="59">
        <f t="shared" si="21"/>
        <v>19793.881511166648</v>
      </c>
      <c r="E189" s="59">
        <f t="shared" si="22"/>
        <v>6604.8902791048358</v>
      </c>
      <c r="F189" s="59">
        <f t="shared" si="23"/>
        <v>13188.991232061813</v>
      </c>
      <c r="G189" s="59">
        <f t="shared" si="24"/>
        <v>1968278.0924993888</v>
      </c>
      <c r="H189" s="60">
        <f t="shared" si="25"/>
        <v>0.33368343017405205</v>
      </c>
      <c r="I189" s="60">
        <f t="shared" si="26"/>
        <v>0.666316569825948</v>
      </c>
    </row>
    <row r="190" spans="2:9" x14ac:dyDescent="0.25">
      <c r="B190" s="58">
        <f t="shared" si="19"/>
        <v>180</v>
      </c>
      <c r="C190" s="58">
        <f t="shared" si="20"/>
        <v>1968278.0924993888</v>
      </c>
      <c r="D190" s="59">
        <f t="shared" si="21"/>
        <v>19793.881511166648</v>
      </c>
      <c r="E190" s="59">
        <f t="shared" si="22"/>
        <v>6560.926974997963</v>
      </c>
      <c r="F190" s="59">
        <f t="shared" si="23"/>
        <v>13232.954536168685</v>
      </c>
      <c r="G190" s="59">
        <f t="shared" si="24"/>
        <v>1955045.1379632202</v>
      </c>
      <c r="H190" s="60">
        <f t="shared" si="25"/>
        <v>0.33146237494129888</v>
      </c>
      <c r="I190" s="60">
        <f t="shared" si="26"/>
        <v>0.66853762505870118</v>
      </c>
    </row>
    <row r="191" spans="2:9" x14ac:dyDescent="0.25">
      <c r="B191" s="58">
        <f t="shared" si="19"/>
        <v>181</v>
      </c>
      <c r="C191" s="58">
        <f t="shared" si="20"/>
        <v>1955045.1379632202</v>
      </c>
      <c r="D191" s="59">
        <f t="shared" si="21"/>
        <v>19793.881511166648</v>
      </c>
      <c r="E191" s="59">
        <f t="shared" si="22"/>
        <v>6516.8171265440678</v>
      </c>
      <c r="F191" s="59">
        <f t="shared" si="23"/>
        <v>13277.064384622579</v>
      </c>
      <c r="G191" s="59">
        <f t="shared" si="24"/>
        <v>1941768.0735785977</v>
      </c>
      <c r="H191" s="60">
        <f t="shared" si="25"/>
        <v>0.3292339161911032</v>
      </c>
      <c r="I191" s="60">
        <f t="shared" si="26"/>
        <v>0.67076608380889668</v>
      </c>
    </row>
    <row r="192" spans="2:9" x14ac:dyDescent="0.25">
      <c r="B192" s="58">
        <f t="shared" si="19"/>
        <v>182</v>
      </c>
      <c r="C192" s="58">
        <f t="shared" si="20"/>
        <v>1941768.0735785977</v>
      </c>
      <c r="D192" s="59">
        <f t="shared" si="21"/>
        <v>19793.881511166648</v>
      </c>
      <c r="E192" s="59">
        <f t="shared" si="22"/>
        <v>6472.5602452619933</v>
      </c>
      <c r="F192" s="59">
        <f t="shared" si="23"/>
        <v>13321.321265904655</v>
      </c>
      <c r="G192" s="59">
        <f t="shared" si="24"/>
        <v>1928446.752312693</v>
      </c>
      <c r="H192" s="60">
        <f t="shared" si="25"/>
        <v>0.3269980292450736</v>
      </c>
      <c r="I192" s="60">
        <f t="shared" si="26"/>
        <v>0.6730019707549264</v>
      </c>
    </row>
    <row r="193" spans="2:9" x14ac:dyDescent="0.25">
      <c r="B193" s="58">
        <f t="shared" si="19"/>
        <v>183</v>
      </c>
      <c r="C193" s="58">
        <f t="shared" si="20"/>
        <v>1928446.752312693</v>
      </c>
      <c r="D193" s="59">
        <f t="shared" si="21"/>
        <v>19793.881511166648</v>
      </c>
      <c r="E193" s="59">
        <f t="shared" si="22"/>
        <v>6428.1558410423104</v>
      </c>
      <c r="F193" s="59">
        <f t="shared" si="23"/>
        <v>13365.725670124339</v>
      </c>
      <c r="G193" s="59">
        <f t="shared" si="24"/>
        <v>1915081.0266425686</v>
      </c>
      <c r="H193" s="60">
        <f t="shared" si="25"/>
        <v>0.32475468934255713</v>
      </c>
      <c r="I193" s="60">
        <f t="shared" si="26"/>
        <v>0.67524531065744287</v>
      </c>
    </row>
    <row r="194" spans="2:9" x14ac:dyDescent="0.25">
      <c r="B194" s="58">
        <f t="shared" si="19"/>
        <v>184</v>
      </c>
      <c r="C194" s="58">
        <f t="shared" si="20"/>
        <v>1915081.0266425686</v>
      </c>
      <c r="D194" s="59">
        <f t="shared" si="21"/>
        <v>19793.881511166648</v>
      </c>
      <c r="E194" s="59">
        <f t="shared" si="22"/>
        <v>6383.6034221418959</v>
      </c>
      <c r="F194" s="59">
        <f t="shared" si="23"/>
        <v>13410.278089024752</v>
      </c>
      <c r="G194" s="59">
        <f t="shared" si="24"/>
        <v>1901670.7485535438</v>
      </c>
      <c r="H194" s="60">
        <f t="shared" si="25"/>
        <v>0.32250387164036565</v>
      </c>
      <c r="I194" s="60">
        <f t="shared" si="26"/>
        <v>0.67749612835963435</v>
      </c>
    </row>
    <row r="195" spans="2:9" x14ac:dyDescent="0.25">
      <c r="B195" s="58">
        <f t="shared" si="19"/>
        <v>185</v>
      </c>
      <c r="C195" s="58">
        <f t="shared" si="20"/>
        <v>1901670.7485535438</v>
      </c>
      <c r="D195" s="59">
        <f t="shared" si="21"/>
        <v>19793.881511166648</v>
      </c>
      <c r="E195" s="59">
        <f t="shared" si="22"/>
        <v>6338.9024951784795</v>
      </c>
      <c r="F195" s="59">
        <f t="shared" si="23"/>
        <v>13454.979015988169</v>
      </c>
      <c r="G195" s="59">
        <f t="shared" si="24"/>
        <v>1888215.7695375558</v>
      </c>
      <c r="H195" s="60">
        <f t="shared" si="25"/>
        <v>0.3202455512125002</v>
      </c>
      <c r="I195" s="60">
        <f t="shared" si="26"/>
        <v>0.6797544487874998</v>
      </c>
    </row>
    <row r="196" spans="2:9" x14ac:dyDescent="0.25">
      <c r="B196" s="58">
        <f t="shared" si="19"/>
        <v>186</v>
      </c>
      <c r="C196" s="58">
        <f t="shared" si="20"/>
        <v>1888215.7695375558</v>
      </c>
      <c r="D196" s="59">
        <f t="shared" si="21"/>
        <v>19793.881511166648</v>
      </c>
      <c r="E196" s="59">
        <f t="shared" si="22"/>
        <v>6294.0525651251864</v>
      </c>
      <c r="F196" s="59">
        <f t="shared" si="23"/>
        <v>13499.828946041462</v>
      </c>
      <c r="G196" s="59">
        <f t="shared" si="24"/>
        <v>1874715.9405915143</v>
      </c>
      <c r="H196" s="60">
        <f t="shared" si="25"/>
        <v>0.31797970304987522</v>
      </c>
      <c r="I196" s="60">
        <f t="shared" si="26"/>
        <v>0.68202029695012478</v>
      </c>
    </row>
    <row r="197" spans="2:9" x14ac:dyDescent="0.25">
      <c r="B197" s="58">
        <f t="shared" si="19"/>
        <v>187</v>
      </c>
      <c r="C197" s="58">
        <f t="shared" si="20"/>
        <v>1874715.9405915143</v>
      </c>
      <c r="D197" s="59">
        <f t="shared" si="21"/>
        <v>19793.881511166648</v>
      </c>
      <c r="E197" s="59">
        <f t="shared" si="22"/>
        <v>6249.0531353050483</v>
      </c>
      <c r="F197" s="59">
        <f t="shared" si="23"/>
        <v>13544.8283758616</v>
      </c>
      <c r="G197" s="59">
        <f t="shared" si="24"/>
        <v>1861171.1122156528</v>
      </c>
      <c r="H197" s="60">
        <f t="shared" si="25"/>
        <v>0.31570630206004147</v>
      </c>
      <c r="I197" s="60">
        <f t="shared" si="26"/>
        <v>0.68429369793995853</v>
      </c>
    </row>
    <row r="198" spans="2:9" x14ac:dyDescent="0.25">
      <c r="B198" s="58">
        <f t="shared" si="19"/>
        <v>188</v>
      </c>
      <c r="C198" s="58">
        <f t="shared" si="20"/>
        <v>1861171.1122156528</v>
      </c>
      <c r="D198" s="59">
        <f t="shared" si="21"/>
        <v>19793.881511166648</v>
      </c>
      <c r="E198" s="59">
        <f t="shared" si="22"/>
        <v>6203.9037073855097</v>
      </c>
      <c r="F198" s="59">
        <f t="shared" si="23"/>
        <v>13589.977803781137</v>
      </c>
      <c r="G198" s="59">
        <f t="shared" si="24"/>
        <v>1847581.1344118717</v>
      </c>
      <c r="H198" s="60">
        <f t="shared" si="25"/>
        <v>0.31342532306690829</v>
      </c>
      <c r="I198" s="60">
        <f t="shared" si="26"/>
        <v>0.68657467693309171</v>
      </c>
    </row>
    <row r="199" spans="2:9" x14ac:dyDescent="0.25">
      <c r="B199" s="58">
        <f t="shared" si="19"/>
        <v>189</v>
      </c>
      <c r="C199" s="58">
        <f t="shared" si="20"/>
        <v>1847581.1344118717</v>
      </c>
      <c r="D199" s="59">
        <f t="shared" si="21"/>
        <v>19793.881511166648</v>
      </c>
      <c r="E199" s="59">
        <f t="shared" si="22"/>
        <v>6158.6037813729063</v>
      </c>
      <c r="F199" s="59">
        <f t="shared" si="23"/>
        <v>13635.277729793743</v>
      </c>
      <c r="G199" s="59">
        <f t="shared" si="24"/>
        <v>1833945.856682078</v>
      </c>
      <c r="H199" s="60">
        <f t="shared" si="25"/>
        <v>0.31113674081046466</v>
      </c>
      <c r="I199" s="60">
        <f t="shared" si="26"/>
        <v>0.68886325918953539</v>
      </c>
    </row>
    <row r="200" spans="2:9" x14ac:dyDescent="0.25">
      <c r="B200" s="58">
        <f t="shared" si="19"/>
        <v>190</v>
      </c>
      <c r="C200" s="58">
        <f t="shared" si="20"/>
        <v>1833945.856682078</v>
      </c>
      <c r="D200" s="59">
        <f t="shared" si="21"/>
        <v>19793.881511166648</v>
      </c>
      <c r="E200" s="59">
        <f t="shared" si="22"/>
        <v>6113.152855606927</v>
      </c>
      <c r="F200" s="59">
        <f t="shared" si="23"/>
        <v>13680.72865555972</v>
      </c>
      <c r="G200" s="59">
        <f t="shared" si="24"/>
        <v>1820265.1280265183</v>
      </c>
      <c r="H200" s="60">
        <f t="shared" si="25"/>
        <v>0.30884052994649958</v>
      </c>
      <c r="I200" s="60">
        <f t="shared" si="26"/>
        <v>0.69115947005350042</v>
      </c>
    </row>
    <row r="201" spans="2:9" x14ac:dyDescent="0.25">
      <c r="B201" s="58">
        <f t="shared" si="19"/>
        <v>191</v>
      </c>
      <c r="C201" s="58">
        <f t="shared" si="20"/>
        <v>1820265.1280265183</v>
      </c>
      <c r="D201" s="59">
        <f t="shared" si="21"/>
        <v>19793.881511166648</v>
      </c>
      <c r="E201" s="59">
        <f t="shared" si="22"/>
        <v>6067.5504267550614</v>
      </c>
      <c r="F201" s="59">
        <f t="shared" si="23"/>
        <v>13726.331084411588</v>
      </c>
      <c r="G201" s="59">
        <f t="shared" si="24"/>
        <v>1806538.7969421067</v>
      </c>
      <c r="H201" s="60">
        <f t="shared" si="25"/>
        <v>0.30653666504632121</v>
      </c>
      <c r="I201" s="60">
        <f t="shared" si="26"/>
        <v>0.69346333495367884</v>
      </c>
    </row>
    <row r="202" spans="2:9" x14ac:dyDescent="0.25">
      <c r="B202" s="58">
        <f t="shared" si="19"/>
        <v>192</v>
      </c>
      <c r="C202" s="58">
        <f t="shared" si="20"/>
        <v>1806538.7969421067</v>
      </c>
      <c r="D202" s="59">
        <f t="shared" si="21"/>
        <v>19793.881511166648</v>
      </c>
      <c r="E202" s="59">
        <f t="shared" si="22"/>
        <v>6021.795989807023</v>
      </c>
      <c r="F202" s="59">
        <f t="shared" si="23"/>
        <v>13772.085521359626</v>
      </c>
      <c r="G202" s="59">
        <f t="shared" si="24"/>
        <v>1792766.711420747</v>
      </c>
      <c r="H202" s="60">
        <f t="shared" si="25"/>
        <v>0.30422512059647566</v>
      </c>
      <c r="I202" s="60">
        <f t="shared" si="26"/>
        <v>0.69577487940352445</v>
      </c>
    </row>
    <row r="203" spans="2:9" x14ac:dyDescent="0.25">
      <c r="B203" s="58">
        <f t="shared" si="19"/>
        <v>193</v>
      </c>
      <c r="C203" s="58">
        <f t="shared" si="20"/>
        <v>1792766.711420747</v>
      </c>
      <c r="D203" s="59">
        <f t="shared" si="21"/>
        <v>19793.881511166648</v>
      </c>
      <c r="E203" s="59">
        <f t="shared" si="22"/>
        <v>5975.8890380691573</v>
      </c>
      <c r="F203" s="59">
        <f t="shared" si="23"/>
        <v>13817.992473097491</v>
      </c>
      <c r="G203" s="59">
        <f t="shared" si="24"/>
        <v>1778948.7189476495</v>
      </c>
      <c r="H203" s="60">
        <f t="shared" si="25"/>
        <v>0.30190587099846389</v>
      </c>
      <c r="I203" s="60">
        <f t="shared" si="26"/>
        <v>0.69809412900153611</v>
      </c>
    </row>
    <row r="204" spans="2:9" x14ac:dyDescent="0.25">
      <c r="B204" s="58">
        <f t="shared" si="19"/>
        <v>194</v>
      </c>
      <c r="C204" s="58">
        <f t="shared" si="20"/>
        <v>1778948.7189476495</v>
      </c>
      <c r="D204" s="59">
        <f t="shared" si="21"/>
        <v>19793.881511166648</v>
      </c>
      <c r="E204" s="59">
        <f t="shared" si="22"/>
        <v>5929.8290631588316</v>
      </c>
      <c r="F204" s="59">
        <f t="shared" si="23"/>
        <v>13864.052448007817</v>
      </c>
      <c r="G204" s="59">
        <f t="shared" si="24"/>
        <v>1765084.6664996417</v>
      </c>
      <c r="H204" s="60">
        <f t="shared" si="25"/>
        <v>0.29957889056845871</v>
      </c>
      <c r="I204" s="60">
        <f t="shared" si="26"/>
        <v>0.70042110943154123</v>
      </c>
    </row>
    <row r="205" spans="2:9" x14ac:dyDescent="0.25">
      <c r="B205" s="58">
        <f t="shared" ref="B205:B268" si="27">B204+1</f>
        <v>195</v>
      </c>
      <c r="C205" s="58">
        <f t="shared" ref="C205:C268" si="28">G204</f>
        <v>1765084.6664996417</v>
      </c>
      <c r="D205" s="59">
        <f t="shared" ref="D205:D268" si="29">$I$7</f>
        <v>19793.881511166648</v>
      </c>
      <c r="E205" s="59">
        <f t="shared" ref="E205:E268" si="30">C205*$I$6</f>
        <v>5883.6155549988061</v>
      </c>
      <c r="F205" s="59">
        <f t="shared" ref="F205:F268" si="31">D205-E205</f>
        <v>13910.265956167841</v>
      </c>
      <c r="G205" s="59">
        <f t="shared" ref="G205:G268" si="32">C205-F205</f>
        <v>1751174.4005434739</v>
      </c>
      <c r="H205" s="60">
        <f t="shared" ref="H205:H268" si="33">E205/D205</f>
        <v>0.29724415353702027</v>
      </c>
      <c r="I205" s="60">
        <f t="shared" ref="I205:I268" si="34">F205/D205</f>
        <v>0.70275584646297973</v>
      </c>
    </row>
    <row r="206" spans="2:9" x14ac:dyDescent="0.25">
      <c r="B206" s="58">
        <f t="shared" si="27"/>
        <v>196</v>
      </c>
      <c r="C206" s="58">
        <f t="shared" si="28"/>
        <v>1751174.4005434739</v>
      </c>
      <c r="D206" s="59">
        <f t="shared" si="29"/>
        <v>19793.881511166648</v>
      </c>
      <c r="E206" s="59">
        <f t="shared" si="30"/>
        <v>5837.2480018115803</v>
      </c>
      <c r="F206" s="59">
        <f t="shared" si="31"/>
        <v>13956.633509355068</v>
      </c>
      <c r="G206" s="59">
        <f t="shared" si="32"/>
        <v>1737217.7670341188</v>
      </c>
      <c r="H206" s="60">
        <f t="shared" si="33"/>
        <v>0.29490163404881037</v>
      </c>
      <c r="I206" s="60">
        <f t="shared" si="34"/>
        <v>0.70509836595118969</v>
      </c>
    </row>
    <row r="207" spans="2:9" x14ac:dyDescent="0.25">
      <c r="B207" s="58">
        <f t="shared" si="27"/>
        <v>197</v>
      </c>
      <c r="C207" s="58">
        <f t="shared" si="28"/>
        <v>1737217.7670341188</v>
      </c>
      <c r="D207" s="59">
        <f t="shared" si="29"/>
        <v>19793.881511166648</v>
      </c>
      <c r="E207" s="59">
        <f t="shared" si="30"/>
        <v>5790.7258901137293</v>
      </c>
      <c r="F207" s="59">
        <f t="shared" si="31"/>
        <v>14003.15562105292</v>
      </c>
      <c r="G207" s="59">
        <f t="shared" si="32"/>
        <v>1723214.6114130658</v>
      </c>
      <c r="H207" s="60">
        <f t="shared" si="33"/>
        <v>0.29255130616230635</v>
      </c>
      <c r="I207" s="60">
        <f t="shared" si="34"/>
        <v>0.70744869383769371</v>
      </c>
    </row>
    <row r="208" spans="2:9" x14ac:dyDescent="0.25">
      <c r="B208" s="58">
        <f t="shared" si="27"/>
        <v>198</v>
      </c>
      <c r="C208" s="58">
        <f t="shared" si="28"/>
        <v>1723214.6114130658</v>
      </c>
      <c r="D208" s="59">
        <f t="shared" si="29"/>
        <v>19793.881511166648</v>
      </c>
      <c r="E208" s="59">
        <f t="shared" si="30"/>
        <v>5744.0487047102197</v>
      </c>
      <c r="F208" s="59">
        <f t="shared" si="31"/>
        <v>14049.832806456428</v>
      </c>
      <c r="G208" s="59">
        <f t="shared" si="32"/>
        <v>1709164.7786066094</v>
      </c>
      <c r="H208" s="60">
        <f t="shared" si="33"/>
        <v>0.29019314384951406</v>
      </c>
      <c r="I208" s="60">
        <f t="shared" si="34"/>
        <v>0.709806856150486</v>
      </c>
    </row>
    <row r="209" spans="2:9" x14ac:dyDescent="0.25">
      <c r="B209" s="58">
        <f t="shared" si="27"/>
        <v>199</v>
      </c>
      <c r="C209" s="58">
        <f t="shared" si="28"/>
        <v>1709164.7786066094</v>
      </c>
      <c r="D209" s="59">
        <f t="shared" si="29"/>
        <v>19793.881511166648</v>
      </c>
      <c r="E209" s="59">
        <f t="shared" si="30"/>
        <v>5697.2159286886981</v>
      </c>
      <c r="F209" s="59">
        <f t="shared" si="31"/>
        <v>14096.66558247795</v>
      </c>
      <c r="G209" s="59">
        <f t="shared" si="32"/>
        <v>1695068.1130241314</v>
      </c>
      <c r="H209" s="60">
        <f t="shared" si="33"/>
        <v>0.28782712099567909</v>
      </c>
      <c r="I209" s="60">
        <f t="shared" si="34"/>
        <v>0.71217287900432091</v>
      </c>
    </row>
    <row r="210" spans="2:9" x14ac:dyDescent="0.25">
      <c r="B210" s="58">
        <f t="shared" si="27"/>
        <v>200</v>
      </c>
      <c r="C210" s="58">
        <f t="shared" si="28"/>
        <v>1695068.1130241314</v>
      </c>
      <c r="D210" s="59">
        <f t="shared" si="29"/>
        <v>19793.881511166648</v>
      </c>
      <c r="E210" s="59">
        <f t="shared" si="30"/>
        <v>5650.2270434137718</v>
      </c>
      <c r="F210" s="59">
        <f t="shared" si="31"/>
        <v>14143.654467752876</v>
      </c>
      <c r="G210" s="59">
        <f t="shared" si="32"/>
        <v>1680924.4585563785</v>
      </c>
      <c r="H210" s="60">
        <f t="shared" si="33"/>
        <v>0.28545321139899804</v>
      </c>
      <c r="I210" s="60">
        <f t="shared" si="34"/>
        <v>0.71454678860100196</v>
      </c>
    </row>
    <row r="211" spans="2:9" x14ac:dyDescent="0.25">
      <c r="B211" s="58">
        <f t="shared" si="27"/>
        <v>201</v>
      </c>
      <c r="C211" s="58">
        <f t="shared" si="28"/>
        <v>1680924.4585563785</v>
      </c>
      <c r="D211" s="59">
        <f t="shared" si="29"/>
        <v>19793.881511166648</v>
      </c>
      <c r="E211" s="59">
        <f t="shared" si="30"/>
        <v>5603.081528521262</v>
      </c>
      <c r="F211" s="59">
        <f t="shared" si="31"/>
        <v>14190.799982645385</v>
      </c>
      <c r="G211" s="59">
        <f t="shared" si="32"/>
        <v>1666733.6585737332</v>
      </c>
      <c r="H211" s="60">
        <f t="shared" si="33"/>
        <v>0.283071388770328</v>
      </c>
      <c r="I211" s="60">
        <f t="shared" si="34"/>
        <v>0.71692861122967189</v>
      </c>
    </row>
    <row r="212" spans="2:9" x14ac:dyDescent="0.25">
      <c r="B212" s="58">
        <f t="shared" si="27"/>
        <v>202</v>
      </c>
      <c r="C212" s="58">
        <f t="shared" si="28"/>
        <v>1666733.6585737332</v>
      </c>
      <c r="D212" s="59">
        <f t="shared" si="29"/>
        <v>19793.881511166648</v>
      </c>
      <c r="E212" s="59">
        <f t="shared" si="30"/>
        <v>5555.778861912444</v>
      </c>
      <c r="F212" s="59">
        <f t="shared" si="31"/>
        <v>14238.102649254204</v>
      </c>
      <c r="G212" s="59">
        <f t="shared" si="32"/>
        <v>1652495.5559244789</v>
      </c>
      <c r="H212" s="60">
        <f t="shared" si="33"/>
        <v>0.28068162673289576</v>
      </c>
      <c r="I212" s="60">
        <f t="shared" si="34"/>
        <v>0.71931837326710424</v>
      </c>
    </row>
    <row r="213" spans="2:9" x14ac:dyDescent="0.25">
      <c r="B213" s="58">
        <f t="shared" si="27"/>
        <v>203</v>
      </c>
      <c r="C213" s="58">
        <f t="shared" si="28"/>
        <v>1652495.5559244789</v>
      </c>
      <c r="D213" s="59">
        <f t="shared" si="29"/>
        <v>19793.881511166648</v>
      </c>
      <c r="E213" s="59">
        <f t="shared" si="30"/>
        <v>5508.3185197482635</v>
      </c>
      <c r="F213" s="59">
        <f t="shared" si="31"/>
        <v>14285.562991418385</v>
      </c>
      <c r="G213" s="59">
        <f t="shared" si="32"/>
        <v>1638209.9929330605</v>
      </c>
      <c r="H213" s="60">
        <f t="shared" si="33"/>
        <v>0.27828389882200544</v>
      </c>
      <c r="I213" s="60">
        <f t="shared" si="34"/>
        <v>0.72171610117799456</v>
      </c>
    </row>
    <row r="214" spans="2:9" x14ac:dyDescent="0.25">
      <c r="B214" s="58">
        <f t="shared" si="27"/>
        <v>204</v>
      </c>
      <c r="C214" s="58">
        <f t="shared" si="28"/>
        <v>1638209.9929330605</v>
      </c>
      <c r="D214" s="59">
        <f t="shared" si="29"/>
        <v>19793.881511166648</v>
      </c>
      <c r="E214" s="59">
        <f t="shared" si="30"/>
        <v>5460.699976443535</v>
      </c>
      <c r="F214" s="59">
        <f t="shared" si="31"/>
        <v>14333.181534723113</v>
      </c>
      <c r="G214" s="59">
        <f t="shared" si="32"/>
        <v>1623876.8113983374</v>
      </c>
      <c r="H214" s="60">
        <f t="shared" si="33"/>
        <v>0.27587817848474544</v>
      </c>
      <c r="I214" s="60">
        <f t="shared" si="34"/>
        <v>0.72412182151525462</v>
      </c>
    </row>
    <row r="215" spans="2:9" x14ac:dyDescent="0.25">
      <c r="B215" s="58">
        <f t="shared" si="27"/>
        <v>205</v>
      </c>
      <c r="C215" s="58">
        <f t="shared" si="28"/>
        <v>1623876.8113983374</v>
      </c>
      <c r="D215" s="59">
        <f t="shared" si="29"/>
        <v>19793.881511166648</v>
      </c>
      <c r="E215" s="59">
        <f t="shared" si="30"/>
        <v>5412.922704661125</v>
      </c>
      <c r="F215" s="59">
        <f t="shared" si="31"/>
        <v>14380.958806505523</v>
      </c>
      <c r="G215" s="59">
        <f t="shared" si="32"/>
        <v>1609495.8525918319</v>
      </c>
      <c r="H215" s="60">
        <f t="shared" si="33"/>
        <v>0.27346443907969459</v>
      </c>
      <c r="I215" s="60">
        <f t="shared" si="34"/>
        <v>0.72653556092030536</v>
      </c>
    </row>
    <row r="216" spans="2:9" x14ac:dyDescent="0.25">
      <c r="B216" s="58">
        <f t="shared" si="27"/>
        <v>206</v>
      </c>
      <c r="C216" s="58">
        <f t="shared" si="28"/>
        <v>1609495.8525918319</v>
      </c>
      <c r="D216" s="59">
        <f t="shared" si="29"/>
        <v>19793.881511166648</v>
      </c>
      <c r="E216" s="59">
        <f t="shared" si="30"/>
        <v>5364.9861753061068</v>
      </c>
      <c r="F216" s="59">
        <f t="shared" si="31"/>
        <v>14428.895335860541</v>
      </c>
      <c r="G216" s="59">
        <f t="shared" si="32"/>
        <v>1595066.9572559714</v>
      </c>
      <c r="H216" s="60">
        <f t="shared" si="33"/>
        <v>0.2710426538766269</v>
      </c>
      <c r="I216" s="60">
        <f t="shared" si="34"/>
        <v>0.72895734612337304</v>
      </c>
    </row>
    <row r="217" spans="2:9" x14ac:dyDescent="0.25">
      <c r="B217" s="58">
        <f t="shared" si="27"/>
        <v>207</v>
      </c>
      <c r="C217" s="58">
        <f t="shared" si="28"/>
        <v>1595066.9572559714</v>
      </c>
      <c r="D217" s="59">
        <f t="shared" si="29"/>
        <v>19793.881511166648</v>
      </c>
      <c r="E217" s="59">
        <f t="shared" si="30"/>
        <v>5316.8898575199046</v>
      </c>
      <c r="F217" s="59">
        <f t="shared" si="31"/>
        <v>14476.991653646743</v>
      </c>
      <c r="G217" s="59">
        <f t="shared" si="32"/>
        <v>1580589.9656023246</v>
      </c>
      <c r="H217" s="60">
        <f t="shared" si="33"/>
        <v>0.26861279605621563</v>
      </c>
      <c r="I217" s="60">
        <f t="shared" si="34"/>
        <v>0.73138720394378431</v>
      </c>
    </row>
    <row r="218" spans="2:9" x14ac:dyDescent="0.25">
      <c r="B218" s="58">
        <f t="shared" si="27"/>
        <v>208</v>
      </c>
      <c r="C218" s="58">
        <f t="shared" si="28"/>
        <v>1580589.9656023246</v>
      </c>
      <c r="D218" s="59">
        <f t="shared" si="29"/>
        <v>19793.881511166648</v>
      </c>
      <c r="E218" s="59">
        <f t="shared" si="30"/>
        <v>5268.6332186744157</v>
      </c>
      <c r="F218" s="59">
        <f t="shared" si="31"/>
        <v>14525.248292492233</v>
      </c>
      <c r="G218" s="59">
        <f t="shared" si="32"/>
        <v>1566064.7173098323</v>
      </c>
      <c r="H218" s="60">
        <f t="shared" si="33"/>
        <v>0.26617483870973641</v>
      </c>
      <c r="I218" s="60">
        <f t="shared" si="34"/>
        <v>0.73382516129026365</v>
      </c>
    </row>
    <row r="219" spans="2:9" x14ac:dyDescent="0.25">
      <c r="B219" s="58">
        <f t="shared" si="27"/>
        <v>209</v>
      </c>
      <c r="C219" s="58">
        <f t="shared" si="28"/>
        <v>1566064.7173098323</v>
      </c>
      <c r="D219" s="59">
        <f t="shared" si="29"/>
        <v>19793.881511166648</v>
      </c>
      <c r="E219" s="59">
        <f t="shared" si="30"/>
        <v>5220.2157243661086</v>
      </c>
      <c r="F219" s="59">
        <f t="shared" si="31"/>
        <v>14573.665786800539</v>
      </c>
      <c r="G219" s="59">
        <f t="shared" si="32"/>
        <v>1551491.0515230319</v>
      </c>
      <c r="H219" s="60">
        <f t="shared" si="33"/>
        <v>0.26372875483876884</v>
      </c>
      <c r="I219" s="60">
        <f t="shared" si="34"/>
        <v>0.7362712451612311</v>
      </c>
    </row>
    <row r="220" spans="2:9" x14ac:dyDescent="0.25">
      <c r="B220" s="58">
        <f t="shared" si="27"/>
        <v>210</v>
      </c>
      <c r="C220" s="58">
        <f t="shared" si="28"/>
        <v>1551491.0515230319</v>
      </c>
      <c r="D220" s="59">
        <f t="shared" si="29"/>
        <v>19793.881511166648</v>
      </c>
      <c r="E220" s="59">
        <f t="shared" si="30"/>
        <v>5171.636838410107</v>
      </c>
      <c r="F220" s="59">
        <f t="shared" si="31"/>
        <v>14622.24467275654</v>
      </c>
      <c r="G220" s="59">
        <f t="shared" si="32"/>
        <v>1536868.8068502753</v>
      </c>
      <c r="H220" s="60">
        <f t="shared" si="33"/>
        <v>0.26127451735489809</v>
      </c>
      <c r="I220" s="60">
        <f t="shared" si="34"/>
        <v>0.73872548264510185</v>
      </c>
    </row>
    <row r="221" spans="2:9" x14ac:dyDescent="0.25">
      <c r="B221" s="58">
        <f t="shared" si="27"/>
        <v>211</v>
      </c>
      <c r="C221" s="58">
        <f t="shared" si="28"/>
        <v>1536868.8068502753</v>
      </c>
      <c r="D221" s="59">
        <f t="shared" si="29"/>
        <v>19793.881511166648</v>
      </c>
      <c r="E221" s="59">
        <f t="shared" si="30"/>
        <v>5122.8960228342512</v>
      </c>
      <c r="F221" s="59">
        <f t="shared" si="31"/>
        <v>14670.985488332397</v>
      </c>
      <c r="G221" s="59">
        <f t="shared" si="32"/>
        <v>1522197.8213619429</v>
      </c>
      <c r="H221" s="60">
        <f t="shared" si="33"/>
        <v>0.25881209907941438</v>
      </c>
      <c r="I221" s="60">
        <f t="shared" si="34"/>
        <v>0.74118790092058562</v>
      </c>
    </row>
    <row r="222" spans="2:9" x14ac:dyDescent="0.25">
      <c r="B222" s="58">
        <f t="shared" si="27"/>
        <v>212</v>
      </c>
      <c r="C222" s="58">
        <f t="shared" si="28"/>
        <v>1522197.8213619429</v>
      </c>
      <c r="D222" s="59">
        <f t="shared" si="29"/>
        <v>19793.881511166648</v>
      </c>
      <c r="E222" s="59">
        <f t="shared" si="30"/>
        <v>5073.9927378731436</v>
      </c>
      <c r="F222" s="59">
        <f t="shared" si="31"/>
        <v>14719.888773293504</v>
      </c>
      <c r="G222" s="59">
        <f t="shared" si="32"/>
        <v>1507477.9325886494</v>
      </c>
      <c r="H222" s="60">
        <f t="shared" si="33"/>
        <v>0.25634147274301244</v>
      </c>
      <c r="I222" s="60">
        <f t="shared" si="34"/>
        <v>0.74365852725698744</v>
      </c>
    </row>
    <row r="223" spans="2:9" x14ac:dyDescent="0.25">
      <c r="B223" s="58">
        <f t="shared" si="27"/>
        <v>213</v>
      </c>
      <c r="C223" s="58">
        <f t="shared" si="28"/>
        <v>1507477.9325886494</v>
      </c>
      <c r="D223" s="59">
        <f t="shared" si="29"/>
        <v>19793.881511166648</v>
      </c>
      <c r="E223" s="59">
        <f t="shared" si="30"/>
        <v>5024.926441962165</v>
      </c>
      <c r="F223" s="59">
        <f t="shared" si="31"/>
        <v>14768.955069204483</v>
      </c>
      <c r="G223" s="59">
        <f t="shared" si="32"/>
        <v>1492708.9775194449</v>
      </c>
      <c r="H223" s="60">
        <f t="shared" si="33"/>
        <v>0.25386261098548918</v>
      </c>
      <c r="I223" s="60">
        <f t="shared" si="34"/>
        <v>0.74613738901451088</v>
      </c>
    </row>
    <row r="224" spans="2:9" x14ac:dyDescent="0.25">
      <c r="B224" s="58">
        <f t="shared" si="27"/>
        <v>214</v>
      </c>
      <c r="C224" s="58">
        <f t="shared" si="28"/>
        <v>1492708.9775194449</v>
      </c>
      <c r="D224" s="59">
        <f t="shared" si="29"/>
        <v>19793.881511166648</v>
      </c>
      <c r="E224" s="59">
        <f t="shared" si="30"/>
        <v>4975.6965917314828</v>
      </c>
      <c r="F224" s="59">
        <f t="shared" si="31"/>
        <v>14818.184919435165</v>
      </c>
      <c r="G224" s="59">
        <f t="shared" si="32"/>
        <v>1477890.7926000098</v>
      </c>
      <c r="H224" s="60">
        <f t="shared" si="33"/>
        <v>0.25137548635544077</v>
      </c>
      <c r="I224" s="60">
        <f t="shared" si="34"/>
        <v>0.74862451364455929</v>
      </c>
    </row>
    <row r="225" spans="2:9" x14ac:dyDescent="0.25">
      <c r="B225" s="58">
        <f t="shared" si="27"/>
        <v>215</v>
      </c>
      <c r="C225" s="58">
        <f t="shared" si="28"/>
        <v>1477890.7926000098</v>
      </c>
      <c r="D225" s="59">
        <f t="shared" si="29"/>
        <v>19793.881511166648</v>
      </c>
      <c r="E225" s="59">
        <f t="shared" si="30"/>
        <v>4926.3026420000333</v>
      </c>
      <c r="F225" s="59">
        <f t="shared" si="31"/>
        <v>14867.578869166615</v>
      </c>
      <c r="G225" s="59">
        <f t="shared" si="32"/>
        <v>1463023.2137308433</v>
      </c>
      <c r="H225" s="60">
        <f t="shared" si="33"/>
        <v>0.24888007130995896</v>
      </c>
      <c r="I225" s="60">
        <f t="shared" si="34"/>
        <v>0.75111992869004107</v>
      </c>
    </row>
    <row r="226" spans="2:9" x14ac:dyDescent="0.25">
      <c r="B226" s="58">
        <f t="shared" si="27"/>
        <v>216</v>
      </c>
      <c r="C226" s="58">
        <f t="shared" si="28"/>
        <v>1463023.2137308433</v>
      </c>
      <c r="D226" s="59">
        <f t="shared" si="29"/>
        <v>19793.881511166648</v>
      </c>
      <c r="E226" s="59">
        <f t="shared" si="30"/>
        <v>4876.7440457694775</v>
      </c>
      <c r="F226" s="59">
        <f t="shared" si="31"/>
        <v>14917.137465397171</v>
      </c>
      <c r="G226" s="59">
        <f t="shared" si="32"/>
        <v>1448106.0762654461</v>
      </c>
      <c r="H226" s="60">
        <f t="shared" si="33"/>
        <v>0.24637633821432545</v>
      </c>
      <c r="I226" s="60">
        <f t="shared" si="34"/>
        <v>0.75362366178567453</v>
      </c>
    </row>
    <row r="227" spans="2:9" x14ac:dyDescent="0.25">
      <c r="B227" s="58">
        <f t="shared" si="27"/>
        <v>217</v>
      </c>
      <c r="C227" s="58">
        <f t="shared" si="28"/>
        <v>1448106.0762654461</v>
      </c>
      <c r="D227" s="59">
        <f t="shared" si="29"/>
        <v>19793.881511166648</v>
      </c>
      <c r="E227" s="59">
        <f t="shared" si="30"/>
        <v>4827.0202542181542</v>
      </c>
      <c r="F227" s="59">
        <f t="shared" si="31"/>
        <v>14966.861256948494</v>
      </c>
      <c r="G227" s="59">
        <f t="shared" si="32"/>
        <v>1433139.2150084977</v>
      </c>
      <c r="H227" s="60">
        <f t="shared" si="33"/>
        <v>0.24386425934170658</v>
      </c>
      <c r="I227" s="60">
        <f t="shared" si="34"/>
        <v>0.75613574065829348</v>
      </c>
    </row>
    <row r="228" spans="2:9" x14ac:dyDescent="0.25">
      <c r="B228" s="58">
        <f t="shared" si="27"/>
        <v>218</v>
      </c>
      <c r="C228" s="58">
        <f t="shared" si="28"/>
        <v>1433139.2150084977</v>
      </c>
      <c r="D228" s="59">
        <f t="shared" si="29"/>
        <v>19793.881511166648</v>
      </c>
      <c r="E228" s="59">
        <f t="shared" si="30"/>
        <v>4777.1307166949928</v>
      </c>
      <c r="F228" s="59">
        <f t="shared" si="31"/>
        <v>15016.750794471656</v>
      </c>
      <c r="G228" s="59">
        <f t="shared" si="32"/>
        <v>1418122.464214026</v>
      </c>
      <c r="H228" s="60">
        <f t="shared" si="33"/>
        <v>0.2413438068728456</v>
      </c>
      <c r="I228" s="60">
        <f t="shared" si="34"/>
        <v>0.75865619312715449</v>
      </c>
    </row>
    <row r="229" spans="2:9" x14ac:dyDescent="0.25">
      <c r="B229" s="58">
        <f t="shared" si="27"/>
        <v>219</v>
      </c>
      <c r="C229" s="58">
        <f t="shared" si="28"/>
        <v>1418122.464214026</v>
      </c>
      <c r="D229" s="59">
        <f t="shared" si="29"/>
        <v>19793.881511166648</v>
      </c>
      <c r="E229" s="59">
        <f t="shared" si="30"/>
        <v>4727.0748807134205</v>
      </c>
      <c r="F229" s="59">
        <f t="shared" si="31"/>
        <v>15066.806630453228</v>
      </c>
      <c r="G229" s="59">
        <f t="shared" si="32"/>
        <v>1403055.6575835727</v>
      </c>
      <c r="H229" s="60">
        <f t="shared" si="33"/>
        <v>0.23881495289575508</v>
      </c>
      <c r="I229" s="60">
        <f t="shared" si="34"/>
        <v>0.76118504710424495</v>
      </c>
    </row>
    <row r="230" spans="2:9" x14ac:dyDescent="0.25">
      <c r="B230" s="58">
        <f t="shared" si="27"/>
        <v>220</v>
      </c>
      <c r="C230" s="58">
        <f t="shared" si="28"/>
        <v>1403055.6575835727</v>
      </c>
      <c r="D230" s="59">
        <f t="shared" si="29"/>
        <v>19793.881511166648</v>
      </c>
      <c r="E230" s="59">
        <f t="shared" si="30"/>
        <v>4676.8521919452423</v>
      </c>
      <c r="F230" s="59">
        <f t="shared" si="31"/>
        <v>15117.029319221405</v>
      </c>
      <c r="G230" s="59">
        <f t="shared" si="32"/>
        <v>1387938.6282643513</v>
      </c>
      <c r="H230" s="60">
        <f t="shared" si="33"/>
        <v>0.23627766940540756</v>
      </c>
      <c r="I230" s="60">
        <f t="shared" si="34"/>
        <v>0.76372233059459238</v>
      </c>
    </row>
    <row r="231" spans="2:9" x14ac:dyDescent="0.25">
      <c r="B231" s="58">
        <f t="shared" si="27"/>
        <v>221</v>
      </c>
      <c r="C231" s="58">
        <f t="shared" si="28"/>
        <v>1387938.6282643513</v>
      </c>
      <c r="D231" s="59">
        <f t="shared" si="29"/>
        <v>19793.881511166648</v>
      </c>
      <c r="E231" s="59">
        <f t="shared" si="30"/>
        <v>4626.4620942145048</v>
      </c>
      <c r="F231" s="59">
        <f t="shared" si="31"/>
        <v>15167.419416952143</v>
      </c>
      <c r="G231" s="59">
        <f t="shared" si="32"/>
        <v>1372771.2088473991</v>
      </c>
      <c r="H231" s="60">
        <f t="shared" si="33"/>
        <v>0.23373192830342562</v>
      </c>
      <c r="I231" s="60">
        <f t="shared" si="34"/>
        <v>0.7662680716965744</v>
      </c>
    </row>
    <row r="232" spans="2:9" x14ac:dyDescent="0.25">
      <c r="B232" s="58">
        <f t="shared" si="27"/>
        <v>222</v>
      </c>
      <c r="C232" s="58">
        <f t="shared" si="28"/>
        <v>1372771.2088473991</v>
      </c>
      <c r="D232" s="59">
        <f t="shared" si="29"/>
        <v>19793.881511166648</v>
      </c>
      <c r="E232" s="59">
        <f t="shared" si="30"/>
        <v>4575.9040294913302</v>
      </c>
      <c r="F232" s="59">
        <f t="shared" si="31"/>
        <v>15217.977481675318</v>
      </c>
      <c r="G232" s="59">
        <f t="shared" si="32"/>
        <v>1357553.2313657238</v>
      </c>
      <c r="H232" s="60">
        <f t="shared" si="33"/>
        <v>0.23117770139777033</v>
      </c>
      <c r="I232" s="60">
        <f t="shared" si="34"/>
        <v>0.76882229860222973</v>
      </c>
    </row>
    <row r="233" spans="2:9" x14ac:dyDescent="0.25">
      <c r="B233" s="58">
        <f t="shared" si="27"/>
        <v>223</v>
      </c>
      <c r="C233" s="58">
        <f t="shared" si="28"/>
        <v>1357553.2313657238</v>
      </c>
      <c r="D233" s="59">
        <f t="shared" si="29"/>
        <v>19793.881511166648</v>
      </c>
      <c r="E233" s="59">
        <f t="shared" si="30"/>
        <v>4525.1774378857463</v>
      </c>
      <c r="F233" s="59">
        <f t="shared" si="31"/>
        <v>15268.704073280902</v>
      </c>
      <c r="G233" s="59">
        <f t="shared" si="32"/>
        <v>1342284.527292443</v>
      </c>
      <c r="H233" s="60">
        <f t="shared" si="33"/>
        <v>0.22861496040242957</v>
      </c>
      <c r="I233" s="60">
        <f t="shared" si="34"/>
        <v>0.77138503959757043</v>
      </c>
    </row>
    <row r="234" spans="2:9" x14ac:dyDescent="0.25">
      <c r="B234" s="58">
        <f t="shared" si="27"/>
        <v>224</v>
      </c>
      <c r="C234" s="58">
        <f t="shared" si="28"/>
        <v>1342284.527292443</v>
      </c>
      <c r="D234" s="59">
        <f t="shared" si="29"/>
        <v>19793.881511166648</v>
      </c>
      <c r="E234" s="59">
        <f t="shared" si="30"/>
        <v>4474.2817576414773</v>
      </c>
      <c r="F234" s="59">
        <f t="shared" si="31"/>
        <v>15319.59975352517</v>
      </c>
      <c r="G234" s="59">
        <f t="shared" si="32"/>
        <v>1326964.9275389179</v>
      </c>
      <c r="H234" s="60">
        <f t="shared" si="33"/>
        <v>0.22604367693710439</v>
      </c>
      <c r="I234" s="60">
        <f t="shared" si="34"/>
        <v>0.77395632306289552</v>
      </c>
    </row>
    <row r="235" spans="2:9" x14ac:dyDescent="0.25">
      <c r="B235" s="58">
        <f t="shared" si="27"/>
        <v>225</v>
      </c>
      <c r="C235" s="58">
        <f t="shared" si="28"/>
        <v>1326964.9275389179</v>
      </c>
      <c r="D235" s="59">
        <f t="shared" si="29"/>
        <v>19793.881511166648</v>
      </c>
      <c r="E235" s="59">
        <f t="shared" si="30"/>
        <v>4423.2164251297263</v>
      </c>
      <c r="F235" s="59">
        <f t="shared" si="31"/>
        <v>15370.665086036923</v>
      </c>
      <c r="G235" s="59">
        <f t="shared" si="32"/>
        <v>1311594.2624528809</v>
      </c>
      <c r="H235" s="60">
        <f t="shared" si="33"/>
        <v>0.2234638225268947</v>
      </c>
      <c r="I235" s="60">
        <f t="shared" si="34"/>
        <v>0.77653617747310533</v>
      </c>
    </row>
    <row r="236" spans="2:9" x14ac:dyDescent="0.25">
      <c r="B236" s="58">
        <f t="shared" si="27"/>
        <v>226</v>
      </c>
      <c r="C236" s="58">
        <f t="shared" si="28"/>
        <v>1311594.2624528809</v>
      </c>
      <c r="D236" s="59">
        <f t="shared" si="29"/>
        <v>19793.881511166648</v>
      </c>
      <c r="E236" s="59">
        <f t="shared" si="30"/>
        <v>4371.9808748429368</v>
      </c>
      <c r="F236" s="59">
        <f t="shared" si="31"/>
        <v>15421.900636323711</v>
      </c>
      <c r="G236" s="59">
        <f t="shared" si="32"/>
        <v>1296172.3618165571</v>
      </c>
      <c r="H236" s="60">
        <f t="shared" si="33"/>
        <v>0.22087536860198437</v>
      </c>
      <c r="I236" s="60">
        <f t="shared" si="34"/>
        <v>0.77912463139801558</v>
      </c>
    </row>
    <row r="237" spans="2:9" x14ac:dyDescent="0.25">
      <c r="B237" s="58">
        <f t="shared" si="27"/>
        <v>227</v>
      </c>
      <c r="C237" s="58">
        <f t="shared" si="28"/>
        <v>1296172.3618165571</v>
      </c>
      <c r="D237" s="59">
        <f t="shared" si="29"/>
        <v>19793.881511166648</v>
      </c>
      <c r="E237" s="59">
        <f t="shared" si="30"/>
        <v>4320.5745393885236</v>
      </c>
      <c r="F237" s="59">
        <f t="shared" si="31"/>
        <v>15473.306971778125</v>
      </c>
      <c r="G237" s="59">
        <f t="shared" si="32"/>
        <v>1280699.054844779</v>
      </c>
      <c r="H237" s="60">
        <f t="shared" si="33"/>
        <v>0.21827828649732428</v>
      </c>
      <c r="I237" s="60">
        <f t="shared" si="34"/>
        <v>0.78172171350267572</v>
      </c>
    </row>
    <row r="238" spans="2:9" x14ac:dyDescent="0.25">
      <c r="B238" s="58">
        <f t="shared" si="27"/>
        <v>228</v>
      </c>
      <c r="C238" s="58">
        <f t="shared" si="28"/>
        <v>1280699.054844779</v>
      </c>
      <c r="D238" s="59">
        <f t="shared" si="29"/>
        <v>19793.881511166648</v>
      </c>
      <c r="E238" s="59">
        <f t="shared" si="30"/>
        <v>4268.9968494825971</v>
      </c>
      <c r="F238" s="59">
        <f t="shared" si="31"/>
        <v>15524.884661684051</v>
      </c>
      <c r="G238" s="59">
        <f t="shared" si="32"/>
        <v>1265174.1701830949</v>
      </c>
      <c r="H238" s="60">
        <f t="shared" si="33"/>
        <v>0.2156725474523154</v>
      </c>
      <c r="I238" s="60">
        <f t="shared" si="34"/>
        <v>0.78432745254768466</v>
      </c>
    </row>
    <row r="239" spans="2:9" x14ac:dyDescent="0.25">
      <c r="B239" s="58">
        <f t="shared" si="27"/>
        <v>229</v>
      </c>
      <c r="C239" s="58">
        <f t="shared" si="28"/>
        <v>1265174.1701830949</v>
      </c>
      <c r="D239" s="59">
        <f t="shared" si="29"/>
        <v>19793.881511166648</v>
      </c>
      <c r="E239" s="59">
        <f t="shared" si="30"/>
        <v>4217.2472339436499</v>
      </c>
      <c r="F239" s="59">
        <f t="shared" si="31"/>
        <v>15576.634277222998</v>
      </c>
      <c r="G239" s="59">
        <f t="shared" si="32"/>
        <v>1249597.535905872</v>
      </c>
      <c r="H239" s="60">
        <f t="shared" si="33"/>
        <v>0.21305812261048976</v>
      </c>
      <c r="I239" s="60">
        <f t="shared" si="34"/>
        <v>0.78694187738951027</v>
      </c>
    </row>
    <row r="240" spans="2:9" x14ac:dyDescent="0.25">
      <c r="B240" s="58">
        <f t="shared" si="27"/>
        <v>230</v>
      </c>
      <c r="C240" s="58">
        <f t="shared" si="28"/>
        <v>1249597.535905872</v>
      </c>
      <c r="D240" s="59">
        <f t="shared" si="29"/>
        <v>19793.881511166648</v>
      </c>
      <c r="E240" s="59">
        <f t="shared" si="30"/>
        <v>4165.3251196862402</v>
      </c>
      <c r="F240" s="59">
        <f t="shared" si="31"/>
        <v>15628.556391480408</v>
      </c>
      <c r="G240" s="59">
        <f t="shared" si="32"/>
        <v>1233968.9795143916</v>
      </c>
      <c r="H240" s="60">
        <f t="shared" si="33"/>
        <v>0.21043498301919139</v>
      </c>
      <c r="I240" s="60">
        <f t="shared" si="34"/>
        <v>0.78956501698080861</v>
      </c>
    </row>
    <row r="241" spans="2:9" x14ac:dyDescent="0.25">
      <c r="B241" s="58">
        <f t="shared" si="27"/>
        <v>231</v>
      </c>
      <c r="C241" s="58">
        <f t="shared" si="28"/>
        <v>1233968.9795143916</v>
      </c>
      <c r="D241" s="59">
        <f t="shared" si="29"/>
        <v>19793.881511166648</v>
      </c>
      <c r="E241" s="59">
        <f t="shared" si="30"/>
        <v>4113.229931714639</v>
      </c>
      <c r="F241" s="59">
        <f t="shared" si="31"/>
        <v>15680.651579452009</v>
      </c>
      <c r="G241" s="59">
        <f t="shared" si="32"/>
        <v>1218288.3279349396</v>
      </c>
      <c r="H241" s="60">
        <f t="shared" si="33"/>
        <v>0.20780309962925539</v>
      </c>
      <c r="I241" s="60">
        <f t="shared" si="34"/>
        <v>0.79219690037074464</v>
      </c>
    </row>
    <row r="242" spans="2:9" x14ac:dyDescent="0.25">
      <c r="B242" s="58">
        <f t="shared" si="27"/>
        <v>232</v>
      </c>
      <c r="C242" s="58">
        <f t="shared" si="28"/>
        <v>1218288.3279349396</v>
      </c>
      <c r="D242" s="59">
        <f t="shared" si="29"/>
        <v>19793.881511166648</v>
      </c>
      <c r="E242" s="59">
        <f t="shared" si="30"/>
        <v>4060.9610931164657</v>
      </c>
      <c r="F242" s="59">
        <f t="shared" si="31"/>
        <v>15732.920418050182</v>
      </c>
      <c r="G242" s="59">
        <f t="shared" si="32"/>
        <v>1202555.4075168895</v>
      </c>
      <c r="H242" s="60">
        <f t="shared" si="33"/>
        <v>0.20516244329468622</v>
      </c>
      <c r="I242" s="60">
        <f t="shared" si="34"/>
        <v>0.79483755670531375</v>
      </c>
    </row>
    <row r="243" spans="2:9" x14ac:dyDescent="0.25">
      <c r="B243" s="58">
        <f t="shared" si="27"/>
        <v>233</v>
      </c>
      <c r="C243" s="58">
        <f t="shared" si="28"/>
        <v>1202555.4075168895</v>
      </c>
      <c r="D243" s="59">
        <f t="shared" si="29"/>
        <v>19793.881511166648</v>
      </c>
      <c r="E243" s="59">
        <f t="shared" si="30"/>
        <v>4008.5180250562985</v>
      </c>
      <c r="F243" s="59">
        <f t="shared" si="31"/>
        <v>15785.363486110349</v>
      </c>
      <c r="G243" s="59">
        <f t="shared" si="32"/>
        <v>1186770.044030779</v>
      </c>
      <c r="H243" s="60">
        <f t="shared" si="33"/>
        <v>0.2025129847723352</v>
      </c>
      <c r="I243" s="60">
        <f t="shared" si="34"/>
        <v>0.79748701522766474</v>
      </c>
    </row>
    <row r="244" spans="2:9" x14ac:dyDescent="0.25">
      <c r="B244" s="58">
        <f t="shared" si="27"/>
        <v>234</v>
      </c>
      <c r="C244" s="58">
        <f t="shared" si="28"/>
        <v>1186770.044030779</v>
      </c>
      <c r="D244" s="59">
        <f t="shared" si="29"/>
        <v>19793.881511166648</v>
      </c>
      <c r="E244" s="59">
        <f t="shared" si="30"/>
        <v>3955.9001467692638</v>
      </c>
      <c r="F244" s="59">
        <f t="shared" si="31"/>
        <v>15837.981364397385</v>
      </c>
      <c r="G244" s="59">
        <f t="shared" si="32"/>
        <v>1170932.0626663817</v>
      </c>
      <c r="H244" s="60">
        <f t="shared" si="33"/>
        <v>0.1998546947215763</v>
      </c>
      <c r="I244" s="60">
        <f t="shared" si="34"/>
        <v>0.80014530527842376</v>
      </c>
    </row>
    <row r="245" spans="2:9" x14ac:dyDescent="0.25">
      <c r="B245" s="58">
        <f t="shared" si="27"/>
        <v>235</v>
      </c>
      <c r="C245" s="58">
        <f t="shared" si="28"/>
        <v>1170932.0626663817</v>
      </c>
      <c r="D245" s="59">
        <f t="shared" si="29"/>
        <v>19793.881511166648</v>
      </c>
      <c r="E245" s="59">
        <f t="shared" si="30"/>
        <v>3903.1068755546057</v>
      </c>
      <c r="F245" s="59">
        <f t="shared" si="31"/>
        <v>15890.774635612042</v>
      </c>
      <c r="G245" s="59">
        <f t="shared" si="32"/>
        <v>1155041.2880307697</v>
      </c>
      <c r="H245" s="60">
        <f t="shared" si="33"/>
        <v>0.19718754370398153</v>
      </c>
      <c r="I245" s="60">
        <f t="shared" si="34"/>
        <v>0.8028124562960185</v>
      </c>
    </row>
    <row r="246" spans="2:9" x14ac:dyDescent="0.25">
      <c r="B246" s="58">
        <f t="shared" si="27"/>
        <v>236</v>
      </c>
      <c r="C246" s="58">
        <f t="shared" si="28"/>
        <v>1155041.2880307697</v>
      </c>
      <c r="D246" s="59">
        <f t="shared" si="29"/>
        <v>19793.881511166648</v>
      </c>
      <c r="E246" s="59">
        <f t="shared" si="30"/>
        <v>3850.1376267692326</v>
      </c>
      <c r="F246" s="59">
        <f t="shared" si="31"/>
        <v>15943.743884397416</v>
      </c>
      <c r="G246" s="59">
        <f t="shared" si="32"/>
        <v>1139097.5441463722</v>
      </c>
      <c r="H246" s="60">
        <f t="shared" si="33"/>
        <v>0.19451150218299484</v>
      </c>
      <c r="I246" s="60">
        <f t="shared" si="34"/>
        <v>0.80548849781700516</v>
      </c>
    </row>
    <row r="247" spans="2:9" x14ac:dyDescent="0.25">
      <c r="B247" s="58">
        <f t="shared" si="27"/>
        <v>237</v>
      </c>
      <c r="C247" s="58">
        <f t="shared" si="28"/>
        <v>1139097.5441463722</v>
      </c>
      <c r="D247" s="59">
        <f t="shared" si="29"/>
        <v>19793.881511166648</v>
      </c>
      <c r="E247" s="59">
        <f t="shared" si="30"/>
        <v>3796.9918138212411</v>
      </c>
      <c r="F247" s="59">
        <f t="shared" si="31"/>
        <v>15996.889697345407</v>
      </c>
      <c r="G247" s="59">
        <f t="shared" si="32"/>
        <v>1123100.6544490268</v>
      </c>
      <c r="H247" s="60">
        <f t="shared" si="33"/>
        <v>0.19182654052360482</v>
      </c>
      <c r="I247" s="60">
        <f t="shared" si="34"/>
        <v>0.80817345947639518</v>
      </c>
    </row>
    <row r="248" spans="2:9" x14ac:dyDescent="0.25">
      <c r="B248" s="58">
        <f t="shared" si="27"/>
        <v>238</v>
      </c>
      <c r="C248" s="58">
        <f t="shared" si="28"/>
        <v>1123100.6544490268</v>
      </c>
      <c r="D248" s="59">
        <f t="shared" si="29"/>
        <v>19793.881511166648</v>
      </c>
      <c r="E248" s="59">
        <f t="shared" si="30"/>
        <v>3743.6688481634228</v>
      </c>
      <c r="F248" s="59">
        <f t="shared" si="31"/>
        <v>16050.212663003225</v>
      </c>
      <c r="G248" s="59">
        <f t="shared" si="32"/>
        <v>1107050.4417860236</v>
      </c>
      <c r="H248" s="60">
        <f t="shared" si="33"/>
        <v>0.18913262899201683</v>
      </c>
      <c r="I248" s="60">
        <f t="shared" si="34"/>
        <v>0.81086737100798323</v>
      </c>
    </row>
    <row r="249" spans="2:9" x14ac:dyDescent="0.25">
      <c r="B249" s="58">
        <f t="shared" si="27"/>
        <v>239</v>
      </c>
      <c r="C249" s="58">
        <f t="shared" si="28"/>
        <v>1107050.4417860236</v>
      </c>
      <c r="D249" s="59">
        <f t="shared" si="29"/>
        <v>19793.881511166648</v>
      </c>
      <c r="E249" s="59">
        <f t="shared" si="30"/>
        <v>3690.1681392867454</v>
      </c>
      <c r="F249" s="59">
        <f t="shared" si="31"/>
        <v>16103.713371879903</v>
      </c>
      <c r="G249" s="59">
        <f t="shared" si="32"/>
        <v>1090946.7284141437</v>
      </c>
      <c r="H249" s="60">
        <f t="shared" si="33"/>
        <v>0.18642973775532354</v>
      </c>
      <c r="I249" s="60">
        <f t="shared" si="34"/>
        <v>0.81357026224467643</v>
      </c>
    </row>
    <row r="250" spans="2:9" x14ac:dyDescent="0.25">
      <c r="B250" s="58">
        <f t="shared" si="27"/>
        <v>240</v>
      </c>
      <c r="C250" s="58">
        <f t="shared" si="28"/>
        <v>1090946.7284141437</v>
      </c>
      <c r="D250" s="59">
        <f t="shared" si="29"/>
        <v>19793.881511166648</v>
      </c>
      <c r="E250" s="59">
        <f t="shared" si="30"/>
        <v>3636.4890947138124</v>
      </c>
      <c r="F250" s="59">
        <f t="shared" si="31"/>
        <v>16157.392416452836</v>
      </c>
      <c r="G250" s="59">
        <f t="shared" si="32"/>
        <v>1074789.3359976909</v>
      </c>
      <c r="H250" s="60">
        <f t="shared" si="33"/>
        <v>0.18371783688117463</v>
      </c>
      <c r="I250" s="60">
        <f t="shared" si="34"/>
        <v>0.8162821631188254</v>
      </c>
    </row>
    <row r="251" spans="2:9" x14ac:dyDescent="0.25">
      <c r="B251" s="58">
        <f t="shared" si="27"/>
        <v>241</v>
      </c>
      <c r="C251" s="58">
        <f t="shared" si="28"/>
        <v>1074789.3359976909</v>
      </c>
      <c r="D251" s="59">
        <f t="shared" si="29"/>
        <v>19793.881511166648</v>
      </c>
      <c r="E251" s="59">
        <f t="shared" si="30"/>
        <v>3582.6311199923034</v>
      </c>
      <c r="F251" s="59">
        <f t="shared" si="31"/>
        <v>16211.250391174344</v>
      </c>
      <c r="G251" s="59">
        <f t="shared" si="32"/>
        <v>1058578.0856065166</v>
      </c>
      <c r="H251" s="60">
        <f t="shared" si="33"/>
        <v>0.18099689633744523</v>
      </c>
      <c r="I251" s="60">
        <f t="shared" si="34"/>
        <v>0.8190031036625548</v>
      </c>
    </row>
    <row r="252" spans="2:9" x14ac:dyDescent="0.25">
      <c r="B252" s="58">
        <f t="shared" si="27"/>
        <v>242</v>
      </c>
      <c r="C252" s="58">
        <f t="shared" si="28"/>
        <v>1058578.0856065166</v>
      </c>
      <c r="D252" s="59">
        <f t="shared" si="29"/>
        <v>19793.881511166648</v>
      </c>
      <c r="E252" s="59">
        <f t="shared" si="30"/>
        <v>3528.5936186883887</v>
      </c>
      <c r="F252" s="59">
        <f t="shared" si="31"/>
        <v>16265.28789247826</v>
      </c>
      <c r="G252" s="59">
        <f t="shared" si="32"/>
        <v>1042312.7977140383</v>
      </c>
      <c r="H252" s="60">
        <f t="shared" si="33"/>
        <v>0.17826688599190335</v>
      </c>
      <c r="I252" s="60">
        <f t="shared" si="34"/>
        <v>0.82173311400809668</v>
      </c>
    </row>
    <row r="253" spans="2:9" x14ac:dyDescent="0.25">
      <c r="B253" s="58">
        <f t="shared" si="27"/>
        <v>243</v>
      </c>
      <c r="C253" s="58">
        <f t="shared" si="28"/>
        <v>1042312.7977140383</v>
      </c>
      <c r="D253" s="59">
        <f t="shared" si="29"/>
        <v>19793.881511166648</v>
      </c>
      <c r="E253" s="59">
        <f t="shared" si="30"/>
        <v>3474.3759923801276</v>
      </c>
      <c r="F253" s="59">
        <f t="shared" si="31"/>
        <v>16319.50551878652</v>
      </c>
      <c r="G253" s="59">
        <f t="shared" si="32"/>
        <v>1025993.2921952518</v>
      </c>
      <c r="H253" s="60">
        <f t="shared" si="33"/>
        <v>0.17552777561187635</v>
      </c>
      <c r="I253" s="60">
        <f t="shared" si="34"/>
        <v>0.82447222438812362</v>
      </c>
    </row>
    <row r="254" spans="2:9" x14ac:dyDescent="0.25">
      <c r="B254" s="58">
        <f t="shared" si="27"/>
        <v>244</v>
      </c>
      <c r="C254" s="58">
        <f t="shared" si="28"/>
        <v>1025993.2921952518</v>
      </c>
      <c r="D254" s="59">
        <f t="shared" si="29"/>
        <v>19793.881511166648</v>
      </c>
      <c r="E254" s="59">
        <f t="shared" si="30"/>
        <v>3419.9776406508395</v>
      </c>
      <c r="F254" s="59">
        <f t="shared" si="31"/>
        <v>16373.903870515809</v>
      </c>
      <c r="G254" s="59">
        <f t="shared" si="32"/>
        <v>1009619.388324736</v>
      </c>
      <c r="H254" s="60">
        <f t="shared" si="33"/>
        <v>0.17277953486391595</v>
      </c>
      <c r="I254" s="60">
        <f t="shared" si="34"/>
        <v>0.82722046513608405</v>
      </c>
    </row>
    <row r="255" spans="2:9" x14ac:dyDescent="0.25">
      <c r="B255" s="58">
        <f t="shared" si="27"/>
        <v>245</v>
      </c>
      <c r="C255" s="58">
        <f t="shared" si="28"/>
        <v>1009619.388324736</v>
      </c>
      <c r="D255" s="59">
        <f t="shared" si="29"/>
        <v>19793.881511166648</v>
      </c>
      <c r="E255" s="59">
        <f t="shared" si="30"/>
        <v>3365.3979610824535</v>
      </c>
      <c r="F255" s="59">
        <f t="shared" si="31"/>
        <v>16428.483550084195</v>
      </c>
      <c r="G255" s="59">
        <f t="shared" si="32"/>
        <v>993190.90477465186</v>
      </c>
      <c r="H255" s="60">
        <f t="shared" si="33"/>
        <v>0.17002213331346236</v>
      </c>
      <c r="I255" s="60">
        <f t="shared" si="34"/>
        <v>0.82997786668653761</v>
      </c>
    </row>
    <row r="256" spans="2:9" x14ac:dyDescent="0.25">
      <c r="B256" s="58">
        <f t="shared" si="27"/>
        <v>246</v>
      </c>
      <c r="C256" s="58">
        <f t="shared" si="28"/>
        <v>993190.90477465186</v>
      </c>
      <c r="D256" s="59">
        <f t="shared" si="29"/>
        <v>19793.881511166648</v>
      </c>
      <c r="E256" s="59">
        <f t="shared" si="30"/>
        <v>3310.6363492488399</v>
      </c>
      <c r="F256" s="59">
        <f t="shared" si="31"/>
        <v>16483.24516191781</v>
      </c>
      <c r="G256" s="59">
        <f t="shared" si="32"/>
        <v>976707.6596127341</v>
      </c>
      <c r="H256" s="60">
        <f t="shared" si="33"/>
        <v>0.16725554042450724</v>
      </c>
      <c r="I256" s="60">
        <f t="shared" si="34"/>
        <v>0.83274445957549281</v>
      </c>
    </row>
    <row r="257" spans="2:9" x14ac:dyDescent="0.25">
      <c r="B257" s="58">
        <f t="shared" si="27"/>
        <v>247</v>
      </c>
      <c r="C257" s="58">
        <f t="shared" si="28"/>
        <v>976707.6596127341</v>
      </c>
      <c r="D257" s="59">
        <f t="shared" si="29"/>
        <v>19793.881511166648</v>
      </c>
      <c r="E257" s="59">
        <f t="shared" si="30"/>
        <v>3255.6921987091141</v>
      </c>
      <c r="F257" s="59">
        <f t="shared" si="31"/>
        <v>16538.189312457533</v>
      </c>
      <c r="G257" s="59">
        <f t="shared" si="32"/>
        <v>960169.47030027653</v>
      </c>
      <c r="H257" s="60">
        <f t="shared" si="33"/>
        <v>0.16447972555925561</v>
      </c>
      <c r="I257" s="60">
        <f t="shared" si="34"/>
        <v>0.83552027444074428</v>
      </c>
    </row>
    <row r="258" spans="2:9" x14ac:dyDescent="0.25">
      <c r="B258" s="58">
        <f t="shared" si="27"/>
        <v>248</v>
      </c>
      <c r="C258" s="58">
        <f t="shared" si="28"/>
        <v>960169.47030027653</v>
      </c>
      <c r="D258" s="59">
        <f t="shared" si="29"/>
        <v>19793.881511166648</v>
      </c>
      <c r="E258" s="59">
        <f t="shared" si="30"/>
        <v>3200.564901000922</v>
      </c>
      <c r="F258" s="59">
        <f t="shared" si="31"/>
        <v>16593.316610165726</v>
      </c>
      <c r="G258" s="59">
        <f t="shared" si="32"/>
        <v>943576.15369011078</v>
      </c>
      <c r="H258" s="60">
        <f t="shared" si="33"/>
        <v>0.16169465797778645</v>
      </c>
      <c r="I258" s="60">
        <f t="shared" si="34"/>
        <v>0.83830534202221352</v>
      </c>
    </row>
    <row r="259" spans="2:9" x14ac:dyDescent="0.25">
      <c r="B259" s="58">
        <f t="shared" si="27"/>
        <v>249</v>
      </c>
      <c r="C259" s="58">
        <f t="shared" si="28"/>
        <v>943576.15369011078</v>
      </c>
      <c r="D259" s="59">
        <f t="shared" si="29"/>
        <v>19793.881511166648</v>
      </c>
      <c r="E259" s="59">
        <f t="shared" si="30"/>
        <v>3145.2538456337029</v>
      </c>
      <c r="F259" s="59">
        <f t="shared" si="31"/>
        <v>16648.627665532946</v>
      </c>
      <c r="G259" s="59">
        <f t="shared" si="32"/>
        <v>926927.52602457779</v>
      </c>
      <c r="H259" s="60">
        <f t="shared" si="33"/>
        <v>0.15890030683771242</v>
      </c>
      <c r="I259" s="60">
        <f t="shared" si="34"/>
        <v>0.84109969316228761</v>
      </c>
    </row>
    <row r="260" spans="2:9" x14ac:dyDescent="0.25">
      <c r="B260" s="58">
        <f t="shared" si="27"/>
        <v>250</v>
      </c>
      <c r="C260" s="58">
        <f t="shared" si="28"/>
        <v>926927.52602457779</v>
      </c>
      <c r="D260" s="59">
        <f t="shared" si="29"/>
        <v>19793.881511166648</v>
      </c>
      <c r="E260" s="59">
        <f t="shared" si="30"/>
        <v>3089.758420081926</v>
      </c>
      <c r="F260" s="59">
        <f t="shared" si="31"/>
        <v>16704.123091084723</v>
      </c>
      <c r="G260" s="59">
        <f t="shared" si="32"/>
        <v>910223.40293349302</v>
      </c>
      <c r="H260" s="60">
        <f t="shared" si="33"/>
        <v>0.15609664119383809</v>
      </c>
      <c r="I260" s="60">
        <f t="shared" si="34"/>
        <v>0.84390335880616196</v>
      </c>
    </row>
    <row r="261" spans="2:9" x14ac:dyDescent="0.25">
      <c r="B261" s="58">
        <f t="shared" si="27"/>
        <v>251</v>
      </c>
      <c r="C261" s="58">
        <f t="shared" si="28"/>
        <v>910223.40293349302</v>
      </c>
      <c r="D261" s="59">
        <f t="shared" si="29"/>
        <v>19793.881511166648</v>
      </c>
      <c r="E261" s="59">
        <f t="shared" si="30"/>
        <v>3034.0780097783104</v>
      </c>
      <c r="F261" s="59">
        <f t="shared" si="31"/>
        <v>16759.803501388338</v>
      </c>
      <c r="G261" s="59">
        <f t="shared" si="32"/>
        <v>893463.59943210473</v>
      </c>
      <c r="H261" s="60">
        <f t="shared" si="33"/>
        <v>0.15328362999781756</v>
      </c>
      <c r="I261" s="60">
        <f t="shared" si="34"/>
        <v>0.84671637000218247</v>
      </c>
    </row>
    <row r="262" spans="2:9" x14ac:dyDescent="0.25">
      <c r="B262" s="58">
        <f t="shared" si="27"/>
        <v>252</v>
      </c>
      <c r="C262" s="58">
        <f t="shared" si="28"/>
        <v>893463.59943210473</v>
      </c>
      <c r="D262" s="59">
        <f t="shared" si="29"/>
        <v>19793.881511166648</v>
      </c>
      <c r="E262" s="59">
        <f t="shared" si="30"/>
        <v>2978.2119981070159</v>
      </c>
      <c r="F262" s="59">
        <f t="shared" si="31"/>
        <v>16815.669513059631</v>
      </c>
      <c r="G262" s="59">
        <f t="shared" si="32"/>
        <v>876647.92991904507</v>
      </c>
      <c r="H262" s="60">
        <f t="shared" si="33"/>
        <v>0.15046124209781028</v>
      </c>
      <c r="I262" s="60">
        <f t="shared" si="34"/>
        <v>0.84953875790218969</v>
      </c>
    </row>
    <row r="263" spans="2:9" x14ac:dyDescent="0.25">
      <c r="B263" s="58">
        <f t="shared" si="27"/>
        <v>253</v>
      </c>
      <c r="C263" s="58">
        <f t="shared" si="28"/>
        <v>876647.92991904507</v>
      </c>
      <c r="D263" s="59">
        <f t="shared" si="29"/>
        <v>19793.881511166648</v>
      </c>
      <c r="E263" s="59">
        <f t="shared" si="30"/>
        <v>2922.1597663968173</v>
      </c>
      <c r="F263" s="59">
        <f t="shared" si="31"/>
        <v>16871.721744769831</v>
      </c>
      <c r="G263" s="59">
        <f t="shared" si="32"/>
        <v>859776.20817427523</v>
      </c>
      <c r="H263" s="60">
        <f t="shared" si="33"/>
        <v>0.14762944623813631</v>
      </c>
      <c r="I263" s="60">
        <f t="shared" si="34"/>
        <v>0.85237055376186366</v>
      </c>
    </row>
    <row r="264" spans="2:9" x14ac:dyDescent="0.25">
      <c r="B264" s="58">
        <f t="shared" si="27"/>
        <v>254</v>
      </c>
      <c r="C264" s="58">
        <f t="shared" si="28"/>
        <v>859776.20817427523</v>
      </c>
      <c r="D264" s="59">
        <f t="shared" si="29"/>
        <v>19793.881511166648</v>
      </c>
      <c r="E264" s="59">
        <f t="shared" si="30"/>
        <v>2865.9206939142509</v>
      </c>
      <c r="F264" s="59">
        <f t="shared" si="31"/>
        <v>16927.960817252399</v>
      </c>
      <c r="G264" s="59">
        <f t="shared" si="32"/>
        <v>842848.24735702283</v>
      </c>
      <c r="H264" s="60">
        <f t="shared" si="33"/>
        <v>0.14478821105893011</v>
      </c>
      <c r="I264" s="60">
        <f t="shared" si="34"/>
        <v>0.85521178894106997</v>
      </c>
    </row>
    <row r="265" spans="2:9" x14ac:dyDescent="0.25">
      <c r="B265" s="58">
        <f t="shared" si="27"/>
        <v>255</v>
      </c>
      <c r="C265" s="58">
        <f t="shared" si="28"/>
        <v>842848.24735702283</v>
      </c>
      <c r="D265" s="59">
        <f t="shared" si="29"/>
        <v>19793.881511166648</v>
      </c>
      <c r="E265" s="59">
        <f t="shared" si="30"/>
        <v>2809.4941578567427</v>
      </c>
      <c r="F265" s="59">
        <f t="shared" si="31"/>
        <v>16984.387353309907</v>
      </c>
      <c r="G265" s="59">
        <f t="shared" si="32"/>
        <v>825863.86000371294</v>
      </c>
      <c r="H265" s="60">
        <f t="shared" si="33"/>
        <v>0.1419375050957932</v>
      </c>
      <c r="I265" s="60">
        <f t="shared" si="34"/>
        <v>0.85806249490420683</v>
      </c>
    </row>
    <row r="266" spans="2:9" x14ac:dyDescent="0.25">
      <c r="B266" s="58">
        <f t="shared" si="27"/>
        <v>256</v>
      </c>
      <c r="C266" s="58">
        <f t="shared" si="28"/>
        <v>825863.86000371294</v>
      </c>
      <c r="D266" s="59">
        <f t="shared" si="29"/>
        <v>19793.881511166648</v>
      </c>
      <c r="E266" s="59">
        <f t="shared" si="30"/>
        <v>2752.8795333457101</v>
      </c>
      <c r="F266" s="59">
        <f t="shared" si="31"/>
        <v>17041.001977820939</v>
      </c>
      <c r="G266" s="59">
        <f t="shared" si="32"/>
        <v>808822.85802589194</v>
      </c>
      <c r="H266" s="60">
        <f t="shared" si="33"/>
        <v>0.13907729677944586</v>
      </c>
      <c r="I266" s="60">
        <f t="shared" si="34"/>
        <v>0.8609227032205542</v>
      </c>
    </row>
    <row r="267" spans="2:9" x14ac:dyDescent="0.25">
      <c r="B267" s="58">
        <f t="shared" si="27"/>
        <v>257</v>
      </c>
      <c r="C267" s="58">
        <f t="shared" si="28"/>
        <v>808822.85802589194</v>
      </c>
      <c r="D267" s="59">
        <f t="shared" si="29"/>
        <v>19793.881511166648</v>
      </c>
      <c r="E267" s="59">
        <f t="shared" si="30"/>
        <v>2696.0761934196398</v>
      </c>
      <c r="F267" s="59">
        <f t="shared" si="31"/>
        <v>17097.805317747006</v>
      </c>
      <c r="G267" s="59">
        <f t="shared" si="32"/>
        <v>791725.05270814488</v>
      </c>
      <c r="H267" s="60">
        <f t="shared" si="33"/>
        <v>0.13620755443537733</v>
      </c>
      <c r="I267" s="60">
        <f t="shared" si="34"/>
        <v>0.86379244556462265</v>
      </c>
    </row>
    <row r="268" spans="2:9" x14ac:dyDescent="0.25">
      <c r="B268" s="58">
        <f t="shared" si="27"/>
        <v>258</v>
      </c>
      <c r="C268" s="58">
        <f t="shared" si="28"/>
        <v>791725.05270814488</v>
      </c>
      <c r="D268" s="59">
        <f t="shared" si="29"/>
        <v>19793.881511166648</v>
      </c>
      <c r="E268" s="59">
        <f t="shared" si="30"/>
        <v>2639.0835090271498</v>
      </c>
      <c r="F268" s="59">
        <f t="shared" si="31"/>
        <v>17154.798002139498</v>
      </c>
      <c r="G268" s="59">
        <f t="shared" si="32"/>
        <v>774570.25470600533</v>
      </c>
      <c r="H268" s="60">
        <f t="shared" si="33"/>
        <v>0.13332824628349524</v>
      </c>
      <c r="I268" s="60">
        <f t="shared" si="34"/>
        <v>0.86667175371650473</v>
      </c>
    </row>
    <row r="269" spans="2:9" x14ac:dyDescent="0.25">
      <c r="B269" s="58">
        <f t="shared" ref="B269:B310" si="35">B268+1</f>
        <v>259</v>
      </c>
      <c r="C269" s="58">
        <f t="shared" ref="C269:C310" si="36">G268</f>
        <v>774570.25470600533</v>
      </c>
      <c r="D269" s="59">
        <f t="shared" ref="D269:D310" si="37">$I$7</f>
        <v>19793.881511166648</v>
      </c>
      <c r="E269" s="59">
        <f t="shared" ref="E269:E310" si="38">C269*$I$6</f>
        <v>2581.9008490200181</v>
      </c>
      <c r="F269" s="59">
        <f t="shared" ref="F269:F310" si="39">D269-E269</f>
        <v>17211.98066214663</v>
      </c>
      <c r="G269" s="59">
        <f t="shared" ref="G269:G310" si="40">C269-F269</f>
        <v>757358.27404385875</v>
      </c>
      <c r="H269" s="60">
        <f t="shared" ref="H269:H310" si="41">E269/D269</f>
        <v>0.13043934043777355</v>
      </c>
      <c r="I269" s="60">
        <f t="shared" ref="I269:I310" si="42">F269/D269</f>
        <v>0.8695606595622265</v>
      </c>
    </row>
    <row r="270" spans="2:9" x14ac:dyDescent="0.25">
      <c r="B270" s="58">
        <f t="shared" si="35"/>
        <v>260</v>
      </c>
      <c r="C270" s="58">
        <f t="shared" si="36"/>
        <v>757358.27404385875</v>
      </c>
      <c r="D270" s="59">
        <f t="shared" si="37"/>
        <v>19793.881511166648</v>
      </c>
      <c r="E270" s="59">
        <f t="shared" si="38"/>
        <v>2524.5275801461962</v>
      </c>
      <c r="F270" s="59">
        <f t="shared" si="39"/>
        <v>17269.353931020451</v>
      </c>
      <c r="G270" s="59">
        <f t="shared" si="40"/>
        <v>740088.92011283827</v>
      </c>
      <c r="H270" s="60">
        <f t="shared" si="41"/>
        <v>0.12754080490589947</v>
      </c>
      <c r="I270" s="60">
        <f t="shared" si="42"/>
        <v>0.87245919509410041</v>
      </c>
    </row>
    <row r="271" spans="2:9" x14ac:dyDescent="0.25">
      <c r="B271" s="58">
        <f t="shared" si="35"/>
        <v>261</v>
      </c>
      <c r="C271" s="58">
        <f t="shared" si="36"/>
        <v>740088.92011283827</v>
      </c>
      <c r="D271" s="59">
        <f t="shared" si="37"/>
        <v>19793.881511166648</v>
      </c>
      <c r="E271" s="59">
        <f t="shared" si="38"/>
        <v>2466.9630670427946</v>
      </c>
      <c r="F271" s="59">
        <f t="shared" si="39"/>
        <v>17326.918444123854</v>
      </c>
      <c r="G271" s="59">
        <f t="shared" si="40"/>
        <v>722762.00166871445</v>
      </c>
      <c r="H271" s="60">
        <f t="shared" si="41"/>
        <v>0.12463260758891914</v>
      </c>
      <c r="I271" s="60">
        <f t="shared" si="42"/>
        <v>0.87536739241108086</v>
      </c>
    </row>
    <row r="272" spans="2:9" x14ac:dyDescent="0.25">
      <c r="B272" s="58">
        <f t="shared" si="35"/>
        <v>262</v>
      </c>
      <c r="C272" s="58">
        <f t="shared" si="36"/>
        <v>722762.00166871445</v>
      </c>
      <c r="D272" s="59">
        <f t="shared" si="37"/>
        <v>19793.881511166648</v>
      </c>
      <c r="E272" s="59">
        <f t="shared" si="38"/>
        <v>2409.2066722290483</v>
      </c>
      <c r="F272" s="59">
        <f t="shared" si="39"/>
        <v>17384.674838937601</v>
      </c>
      <c r="G272" s="59">
        <f t="shared" si="40"/>
        <v>705377.32682977687</v>
      </c>
      <c r="H272" s="60">
        <f t="shared" si="41"/>
        <v>0.12171471628088219</v>
      </c>
      <c r="I272" s="60">
        <f t="shared" si="42"/>
        <v>0.87828528371911785</v>
      </c>
    </row>
    <row r="273" spans="2:9" x14ac:dyDescent="0.25">
      <c r="B273" s="58">
        <f t="shared" si="35"/>
        <v>263</v>
      </c>
      <c r="C273" s="58">
        <f t="shared" si="36"/>
        <v>705377.32682977687</v>
      </c>
      <c r="D273" s="59">
        <f t="shared" si="37"/>
        <v>19793.881511166648</v>
      </c>
      <c r="E273" s="59">
        <f t="shared" si="38"/>
        <v>2351.2577560992563</v>
      </c>
      <c r="F273" s="59">
        <f t="shared" si="39"/>
        <v>17442.62375506739</v>
      </c>
      <c r="G273" s="59">
        <f t="shared" si="40"/>
        <v>687934.70307470951</v>
      </c>
      <c r="H273" s="60">
        <f t="shared" si="41"/>
        <v>0.11878709866848514</v>
      </c>
      <c r="I273" s="60">
        <f t="shared" si="42"/>
        <v>0.88121290133151475</v>
      </c>
    </row>
    <row r="274" spans="2:9" x14ac:dyDescent="0.25">
      <c r="B274" s="58">
        <f t="shared" si="35"/>
        <v>264</v>
      </c>
      <c r="C274" s="58">
        <f t="shared" si="36"/>
        <v>687934.70307470951</v>
      </c>
      <c r="D274" s="59">
        <f t="shared" si="37"/>
        <v>19793.881511166648</v>
      </c>
      <c r="E274" s="59">
        <f t="shared" si="38"/>
        <v>2293.1156769156987</v>
      </c>
      <c r="F274" s="59">
        <f t="shared" si="39"/>
        <v>17500.765834250949</v>
      </c>
      <c r="G274" s="59">
        <f t="shared" si="40"/>
        <v>670433.93724045856</v>
      </c>
      <c r="H274" s="60">
        <f t="shared" si="41"/>
        <v>0.11584972233071344</v>
      </c>
      <c r="I274" s="60">
        <f t="shared" si="42"/>
        <v>0.88415027766928656</v>
      </c>
    </row>
    <row r="275" spans="2:9" x14ac:dyDescent="0.25">
      <c r="B275" s="58">
        <f t="shared" si="35"/>
        <v>265</v>
      </c>
      <c r="C275" s="58">
        <f t="shared" si="36"/>
        <v>670433.93724045856</v>
      </c>
      <c r="D275" s="59">
        <f t="shared" si="37"/>
        <v>19793.881511166648</v>
      </c>
      <c r="E275" s="59">
        <f t="shared" si="38"/>
        <v>2234.7797908015286</v>
      </c>
      <c r="F275" s="59">
        <f t="shared" si="39"/>
        <v>17559.101720365121</v>
      </c>
      <c r="G275" s="59">
        <f t="shared" si="40"/>
        <v>652874.83552009345</v>
      </c>
      <c r="H275" s="60">
        <f t="shared" si="41"/>
        <v>0.11290255473848247</v>
      </c>
      <c r="I275" s="60">
        <f t="shared" si="42"/>
        <v>0.88709744526151757</v>
      </c>
    </row>
    <row r="276" spans="2:9" x14ac:dyDescent="0.25">
      <c r="B276" s="58">
        <f t="shared" si="35"/>
        <v>266</v>
      </c>
      <c r="C276" s="58">
        <f t="shared" si="36"/>
        <v>652874.83552009345</v>
      </c>
      <c r="D276" s="59">
        <f t="shared" si="37"/>
        <v>19793.881511166648</v>
      </c>
      <c r="E276" s="59">
        <f t="shared" si="38"/>
        <v>2176.2494517336449</v>
      </c>
      <c r="F276" s="59">
        <f t="shared" si="39"/>
        <v>17617.632059433003</v>
      </c>
      <c r="G276" s="59">
        <f t="shared" si="40"/>
        <v>635257.20346066041</v>
      </c>
      <c r="H276" s="60">
        <f t="shared" si="41"/>
        <v>0.10994556325427741</v>
      </c>
      <c r="I276" s="60">
        <f t="shared" si="42"/>
        <v>0.8900544367457226</v>
      </c>
    </row>
    <row r="277" spans="2:9" x14ac:dyDescent="0.25">
      <c r="B277" s="58">
        <f t="shared" si="35"/>
        <v>267</v>
      </c>
      <c r="C277" s="58">
        <f t="shared" si="36"/>
        <v>635257.20346066041</v>
      </c>
      <c r="D277" s="59">
        <f t="shared" si="37"/>
        <v>19793.881511166648</v>
      </c>
      <c r="E277" s="59">
        <f t="shared" si="38"/>
        <v>2117.524011535535</v>
      </c>
      <c r="F277" s="59">
        <f t="shared" si="39"/>
        <v>17676.357499631114</v>
      </c>
      <c r="G277" s="59">
        <f t="shared" si="40"/>
        <v>617580.84596102929</v>
      </c>
      <c r="H277" s="60">
        <f t="shared" si="41"/>
        <v>0.10697871513179168</v>
      </c>
      <c r="I277" s="60">
        <f t="shared" si="42"/>
        <v>0.89302128486820842</v>
      </c>
    </row>
    <row r="278" spans="2:9" x14ac:dyDescent="0.25">
      <c r="B278" s="58">
        <f t="shared" si="35"/>
        <v>268</v>
      </c>
      <c r="C278" s="58">
        <f t="shared" si="36"/>
        <v>617580.84596102929</v>
      </c>
      <c r="D278" s="59">
        <f t="shared" si="37"/>
        <v>19793.881511166648</v>
      </c>
      <c r="E278" s="59">
        <f t="shared" si="38"/>
        <v>2058.6028198700978</v>
      </c>
      <c r="F278" s="59">
        <f t="shared" si="39"/>
        <v>17735.278691296549</v>
      </c>
      <c r="G278" s="59">
        <f t="shared" si="40"/>
        <v>599845.56726973271</v>
      </c>
      <c r="H278" s="60">
        <f t="shared" si="41"/>
        <v>0.10400197751556431</v>
      </c>
      <c r="I278" s="60">
        <f t="shared" si="42"/>
        <v>0.89599802248443561</v>
      </c>
    </row>
    <row r="279" spans="2:9" x14ac:dyDescent="0.25">
      <c r="B279" s="58">
        <f t="shared" si="35"/>
        <v>269</v>
      </c>
      <c r="C279" s="58">
        <f t="shared" si="36"/>
        <v>599845.56726973271</v>
      </c>
      <c r="D279" s="59">
        <f t="shared" si="37"/>
        <v>19793.881511166648</v>
      </c>
      <c r="E279" s="59">
        <f t="shared" si="38"/>
        <v>1999.4852242324425</v>
      </c>
      <c r="F279" s="59">
        <f t="shared" si="39"/>
        <v>17794.396286934207</v>
      </c>
      <c r="G279" s="59">
        <f t="shared" si="40"/>
        <v>582051.17098279856</v>
      </c>
      <c r="H279" s="60">
        <f t="shared" si="41"/>
        <v>0.10101531744061619</v>
      </c>
      <c r="I279" s="60">
        <f t="shared" si="42"/>
        <v>0.89898468255938391</v>
      </c>
    </row>
    <row r="280" spans="2:9" x14ac:dyDescent="0.25">
      <c r="B280" s="58">
        <f t="shared" si="35"/>
        <v>270</v>
      </c>
      <c r="C280" s="58">
        <f t="shared" si="36"/>
        <v>582051.17098279856</v>
      </c>
      <c r="D280" s="59">
        <f t="shared" si="37"/>
        <v>19793.881511166648</v>
      </c>
      <c r="E280" s="59">
        <f t="shared" si="38"/>
        <v>1940.170569942662</v>
      </c>
      <c r="F280" s="59">
        <f t="shared" si="39"/>
        <v>17853.710941223988</v>
      </c>
      <c r="G280" s="59">
        <f t="shared" si="40"/>
        <v>564197.46004157455</v>
      </c>
      <c r="H280" s="60">
        <f t="shared" si="41"/>
        <v>9.8018701832084915E-2</v>
      </c>
      <c r="I280" s="60">
        <f t="shared" si="42"/>
        <v>0.90198129816791517</v>
      </c>
    </row>
    <row r="281" spans="2:9" x14ac:dyDescent="0.25">
      <c r="B281" s="58">
        <f t="shared" si="35"/>
        <v>271</v>
      </c>
      <c r="C281" s="58">
        <f t="shared" si="36"/>
        <v>564197.46004157455</v>
      </c>
      <c r="D281" s="59">
        <f t="shared" si="37"/>
        <v>19793.881511166648</v>
      </c>
      <c r="E281" s="59">
        <f t="shared" si="38"/>
        <v>1880.6582001385821</v>
      </c>
      <c r="F281" s="59">
        <f t="shared" si="39"/>
        <v>17913.223311028065</v>
      </c>
      <c r="G281" s="59">
        <f t="shared" si="40"/>
        <v>546284.23673054646</v>
      </c>
      <c r="H281" s="60">
        <f t="shared" si="41"/>
        <v>9.5012097504858534E-2</v>
      </c>
      <c r="I281" s="60">
        <f t="shared" si="42"/>
        <v>0.90498790249514138</v>
      </c>
    </row>
    <row r="282" spans="2:9" x14ac:dyDescent="0.25">
      <c r="B282" s="58">
        <f t="shared" si="35"/>
        <v>272</v>
      </c>
      <c r="C282" s="58">
        <f t="shared" si="36"/>
        <v>546284.23673054646</v>
      </c>
      <c r="D282" s="59">
        <f t="shared" si="37"/>
        <v>19793.881511166648</v>
      </c>
      <c r="E282" s="59">
        <f t="shared" si="38"/>
        <v>1820.9474557684882</v>
      </c>
      <c r="F282" s="59">
        <f t="shared" si="39"/>
        <v>17972.93405539816</v>
      </c>
      <c r="G282" s="59">
        <f t="shared" si="40"/>
        <v>528311.30267514824</v>
      </c>
      <c r="H282" s="60">
        <f t="shared" si="41"/>
        <v>9.199547116320804E-2</v>
      </c>
      <c r="I282" s="60">
        <f t="shared" si="42"/>
        <v>0.90800452883679195</v>
      </c>
    </row>
    <row r="283" spans="2:9" x14ac:dyDescent="0.25">
      <c r="B283" s="58">
        <f t="shared" si="35"/>
        <v>273</v>
      </c>
      <c r="C283" s="58">
        <f t="shared" si="36"/>
        <v>528311.30267514824</v>
      </c>
      <c r="D283" s="59">
        <f t="shared" si="37"/>
        <v>19793.881511166648</v>
      </c>
      <c r="E283" s="59">
        <f t="shared" si="38"/>
        <v>1761.0376755838276</v>
      </c>
      <c r="F283" s="59">
        <f t="shared" si="39"/>
        <v>18032.843835582822</v>
      </c>
      <c r="G283" s="59">
        <f t="shared" si="40"/>
        <v>510278.4588395654</v>
      </c>
      <c r="H283" s="60">
        <f t="shared" si="41"/>
        <v>8.8968789400418732E-2</v>
      </c>
      <c r="I283" s="60">
        <f t="shared" si="42"/>
        <v>0.91103121059958136</v>
      </c>
    </row>
    <row r="284" spans="2:9" x14ac:dyDescent="0.25">
      <c r="B284" s="58">
        <f t="shared" si="35"/>
        <v>274</v>
      </c>
      <c r="C284" s="58">
        <f t="shared" si="36"/>
        <v>510278.4588395654</v>
      </c>
      <c r="D284" s="59">
        <f t="shared" si="37"/>
        <v>19793.881511166648</v>
      </c>
      <c r="E284" s="59">
        <f t="shared" si="38"/>
        <v>1700.9281961318848</v>
      </c>
      <c r="F284" s="59">
        <f t="shared" si="39"/>
        <v>18092.953315034763</v>
      </c>
      <c r="G284" s="59">
        <f t="shared" si="40"/>
        <v>492185.50552453066</v>
      </c>
      <c r="H284" s="60">
        <f t="shared" si="41"/>
        <v>8.5932018698420126E-2</v>
      </c>
      <c r="I284" s="60">
        <f t="shared" si="42"/>
        <v>0.91406798130157985</v>
      </c>
    </row>
    <row r="285" spans="2:9" x14ac:dyDescent="0.25">
      <c r="B285" s="58">
        <f t="shared" si="35"/>
        <v>275</v>
      </c>
      <c r="C285" s="58">
        <f t="shared" si="36"/>
        <v>492185.50552453066</v>
      </c>
      <c r="D285" s="59">
        <f t="shared" si="37"/>
        <v>19793.881511166648</v>
      </c>
      <c r="E285" s="59">
        <f t="shared" si="38"/>
        <v>1640.6183517484355</v>
      </c>
      <c r="F285" s="59">
        <f t="shared" si="39"/>
        <v>18153.263159418213</v>
      </c>
      <c r="G285" s="59">
        <f t="shared" si="40"/>
        <v>474032.24236511247</v>
      </c>
      <c r="H285" s="60">
        <f t="shared" si="41"/>
        <v>8.2885125427414857E-2</v>
      </c>
      <c r="I285" s="60">
        <f t="shared" si="42"/>
        <v>0.91711487457258511</v>
      </c>
    </row>
    <row r="286" spans="2:9" x14ac:dyDescent="0.25">
      <c r="B286" s="58">
        <f t="shared" si="35"/>
        <v>276</v>
      </c>
      <c r="C286" s="58">
        <f t="shared" si="36"/>
        <v>474032.24236511247</v>
      </c>
      <c r="D286" s="59">
        <f t="shared" si="37"/>
        <v>19793.881511166648</v>
      </c>
      <c r="E286" s="59">
        <f t="shared" si="38"/>
        <v>1580.1074745503749</v>
      </c>
      <c r="F286" s="59">
        <f t="shared" si="39"/>
        <v>18213.774036616272</v>
      </c>
      <c r="G286" s="59">
        <f t="shared" si="40"/>
        <v>455818.46832849621</v>
      </c>
      <c r="H286" s="60">
        <f t="shared" si="41"/>
        <v>7.9828075845506247E-2</v>
      </c>
      <c r="I286" s="60">
        <f t="shared" si="42"/>
        <v>0.92017192415449367</v>
      </c>
    </row>
    <row r="287" spans="2:9" x14ac:dyDescent="0.25">
      <c r="B287" s="58">
        <f t="shared" si="35"/>
        <v>277</v>
      </c>
      <c r="C287" s="58">
        <f t="shared" si="36"/>
        <v>455818.46832849621</v>
      </c>
      <c r="D287" s="59">
        <f t="shared" si="37"/>
        <v>19793.881511166648</v>
      </c>
      <c r="E287" s="59">
        <f t="shared" si="38"/>
        <v>1519.3948944283209</v>
      </c>
      <c r="F287" s="59">
        <f t="shared" si="39"/>
        <v>18274.486616738326</v>
      </c>
      <c r="G287" s="59">
        <f t="shared" si="40"/>
        <v>437543.98171175789</v>
      </c>
      <c r="H287" s="60">
        <f t="shared" si="41"/>
        <v>7.6760836098324611E-2</v>
      </c>
      <c r="I287" s="60">
        <f t="shared" si="42"/>
        <v>0.92323916390167537</v>
      </c>
    </row>
    <row r="288" spans="2:9" x14ac:dyDescent="0.25">
      <c r="B288" s="58">
        <f t="shared" si="35"/>
        <v>278</v>
      </c>
      <c r="C288" s="58">
        <f t="shared" si="36"/>
        <v>437543.98171175789</v>
      </c>
      <c r="D288" s="59">
        <f t="shared" si="37"/>
        <v>19793.881511166648</v>
      </c>
      <c r="E288" s="59">
        <f t="shared" si="38"/>
        <v>1458.4799390391931</v>
      </c>
      <c r="F288" s="59">
        <f t="shared" si="39"/>
        <v>18335.401572127455</v>
      </c>
      <c r="G288" s="59">
        <f t="shared" si="40"/>
        <v>419208.58013963042</v>
      </c>
      <c r="H288" s="60">
        <f t="shared" si="41"/>
        <v>7.3683372218652357E-2</v>
      </c>
      <c r="I288" s="60">
        <f t="shared" si="42"/>
        <v>0.92631662778134771</v>
      </c>
    </row>
    <row r="289" spans="2:9" x14ac:dyDescent="0.25">
      <c r="B289" s="58">
        <f t="shared" si="35"/>
        <v>279</v>
      </c>
      <c r="C289" s="58">
        <f t="shared" si="36"/>
        <v>419208.58013963042</v>
      </c>
      <c r="D289" s="59">
        <f t="shared" si="37"/>
        <v>19793.881511166648</v>
      </c>
      <c r="E289" s="59">
        <f t="shared" si="38"/>
        <v>1397.3619337987682</v>
      </c>
      <c r="F289" s="59">
        <f t="shared" si="39"/>
        <v>18396.519577367879</v>
      </c>
      <c r="G289" s="59">
        <f t="shared" si="40"/>
        <v>400812.06056226254</v>
      </c>
      <c r="H289" s="60">
        <f t="shared" si="41"/>
        <v>7.0595650126047862E-2</v>
      </c>
      <c r="I289" s="60">
        <f t="shared" si="42"/>
        <v>0.92940434987395204</v>
      </c>
    </row>
    <row r="290" spans="2:9" x14ac:dyDescent="0.25">
      <c r="B290" s="58">
        <f t="shared" si="35"/>
        <v>280</v>
      </c>
      <c r="C290" s="58">
        <f t="shared" si="36"/>
        <v>400812.06056226254</v>
      </c>
      <c r="D290" s="59">
        <f t="shared" si="37"/>
        <v>19793.881511166648</v>
      </c>
      <c r="E290" s="59">
        <f t="shared" si="38"/>
        <v>1336.0402018742086</v>
      </c>
      <c r="F290" s="59">
        <f t="shared" si="39"/>
        <v>18457.841309292438</v>
      </c>
      <c r="G290" s="59">
        <f t="shared" si="40"/>
        <v>382354.21925297013</v>
      </c>
      <c r="H290" s="60">
        <f t="shared" si="41"/>
        <v>6.7497635626468017E-2</v>
      </c>
      <c r="I290" s="60">
        <f t="shared" si="42"/>
        <v>0.93250236437353196</v>
      </c>
    </row>
    <row r="291" spans="2:9" x14ac:dyDescent="0.25">
      <c r="B291" s="58">
        <f t="shared" si="35"/>
        <v>281</v>
      </c>
      <c r="C291" s="58">
        <f t="shared" si="36"/>
        <v>382354.21925297013</v>
      </c>
      <c r="D291" s="59">
        <f t="shared" si="37"/>
        <v>19793.881511166648</v>
      </c>
      <c r="E291" s="59">
        <f t="shared" si="38"/>
        <v>1274.5140641765672</v>
      </c>
      <c r="F291" s="59">
        <f t="shared" si="39"/>
        <v>18519.36744699008</v>
      </c>
      <c r="G291" s="59">
        <f t="shared" si="40"/>
        <v>363834.85180598003</v>
      </c>
      <c r="H291" s="60">
        <f t="shared" si="41"/>
        <v>6.4389294411889578E-2</v>
      </c>
      <c r="I291" s="60">
        <f t="shared" si="42"/>
        <v>0.93561070558811033</v>
      </c>
    </row>
    <row r="292" spans="2:9" x14ac:dyDescent="0.25">
      <c r="B292" s="58">
        <f t="shared" si="35"/>
        <v>282</v>
      </c>
      <c r="C292" s="58">
        <f t="shared" si="36"/>
        <v>363834.85180598003</v>
      </c>
      <c r="D292" s="59">
        <f t="shared" si="37"/>
        <v>19793.881511166648</v>
      </c>
      <c r="E292" s="59">
        <f t="shared" si="38"/>
        <v>1212.7828393532668</v>
      </c>
      <c r="F292" s="59">
        <f t="shared" si="39"/>
        <v>18581.098671813383</v>
      </c>
      <c r="G292" s="59">
        <f t="shared" si="40"/>
        <v>345253.75313416665</v>
      </c>
      <c r="H292" s="60">
        <f t="shared" si="41"/>
        <v>6.1270592059929206E-2</v>
      </c>
      <c r="I292" s="60">
        <f t="shared" si="42"/>
        <v>0.93872940794007087</v>
      </c>
    </row>
    <row r="293" spans="2:9" x14ac:dyDescent="0.25">
      <c r="B293" s="58">
        <f t="shared" si="35"/>
        <v>283</v>
      </c>
      <c r="C293" s="58">
        <f t="shared" si="36"/>
        <v>345253.75313416665</v>
      </c>
      <c r="D293" s="59">
        <f t="shared" si="37"/>
        <v>19793.881511166648</v>
      </c>
      <c r="E293" s="59">
        <f t="shared" si="38"/>
        <v>1150.8458437805555</v>
      </c>
      <c r="F293" s="59">
        <f t="shared" si="39"/>
        <v>18643.035667386092</v>
      </c>
      <c r="G293" s="59">
        <f t="shared" si="40"/>
        <v>326610.71746678057</v>
      </c>
      <c r="H293" s="60">
        <f t="shared" si="41"/>
        <v>5.8141494033462304E-2</v>
      </c>
      <c r="I293" s="60">
        <f t="shared" si="42"/>
        <v>0.94185850596653764</v>
      </c>
    </row>
    <row r="294" spans="2:9" x14ac:dyDescent="0.25">
      <c r="B294" s="58">
        <f t="shared" si="35"/>
        <v>284</v>
      </c>
      <c r="C294" s="58">
        <f t="shared" si="36"/>
        <v>326610.71746678057</v>
      </c>
      <c r="D294" s="59">
        <f t="shared" si="37"/>
        <v>19793.881511166648</v>
      </c>
      <c r="E294" s="59">
        <f t="shared" si="38"/>
        <v>1088.7023915559353</v>
      </c>
      <c r="F294" s="59">
        <f t="shared" si="39"/>
        <v>18705.179119610711</v>
      </c>
      <c r="G294" s="59">
        <f t="shared" si="40"/>
        <v>307905.53834716987</v>
      </c>
      <c r="H294" s="60">
        <f t="shared" si="41"/>
        <v>5.5001965680240517E-2</v>
      </c>
      <c r="I294" s="60">
        <f t="shared" si="42"/>
        <v>0.94499803431975937</v>
      </c>
    </row>
    <row r="295" spans="2:9" x14ac:dyDescent="0.25">
      <c r="B295" s="58">
        <f t="shared" si="35"/>
        <v>285</v>
      </c>
      <c r="C295" s="58">
        <f t="shared" si="36"/>
        <v>307905.53834716987</v>
      </c>
      <c r="D295" s="59">
        <f t="shared" si="37"/>
        <v>19793.881511166648</v>
      </c>
      <c r="E295" s="59">
        <f t="shared" si="38"/>
        <v>1026.3517944905664</v>
      </c>
      <c r="F295" s="59">
        <f t="shared" si="39"/>
        <v>18767.529716676083</v>
      </c>
      <c r="G295" s="59">
        <f t="shared" si="40"/>
        <v>289138.00863049377</v>
      </c>
      <c r="H295" s="60">
        <f t="shared" si="41"/>
        <v>5.1851972232507988E-2</v>
      </c>
      <c r="I295" s="60">
        <f t="shared" si="42"/>
        <v>0.94814802776749207</v>
      </c>
    </row>
    <row r="296" spans="2:9" x14ac:dyDescent="0.25">
      <c r="B296" s="58">
        <f t="shared" si="35"/>
        <v>286</v>
      </c>
      <c r="C296" s="58">
        <f t="shared" si="36"/>
        <v>289138.00863049377</v>
      </c>
      <c r="D296" s="59">
        <f t="shared" si="37"/>
        <v>19793.881511166648</v>
      </c>
      <c r="E296" s="59">
        <f t="shared" si="38"/>
        <v>963.79336210164593</v>
      </c>
      <c r="F296" s="59">
        <f t="shared" si="39"/>
        <v>18830.088149065003</v>
      </c>
      <c r="G296" s="59">
        <f t="shared" si="40"/>
        <v>270307.9204814288</v>
      </c>
      <c r="H296" s="60">
        <f t="shared" si="41"/>
        <v>4.8691478806616346E-2</v>
      </c>
      <c r="I296" s="60">
        <f t="shared" si="42"/>
        <v>0.95130852119338372</v>
      </c>
    </row>
    <row r="297" spans="2:9" x14ac:dyDescent="0.25">
      <c r="B297" s="58">
        <f t="shared" si="35"/>
        <v>287</v>
      </c>
      <c r="C297" s="58">
        <f t="shared" si="36"/>
        <v>270307.9204814288</v>
      </c>
      <c r="D297" s="59">
        <f t="shared" si="37"/>
        <v>19793.881511166648</v>
      </c>
      <c r="E297" s="59">
        <f t="shared" si="38"/>
        <v>901.02640160476267</v>
      </c>
      <c r="F297" s="59">
        <f t="shared" si="39"/>
        <v>18892.855109561886</v>
      </c>
      <c r="G297" s="59">
        <f t="shared" si="40"/>
        <v>251415.06537186692</v>
      </c>
      <c r="H297" s="60">
        <f t="shared" si="41"/>
        <v>4.5520450402638399E-2</v>
      </c>
      <c r="I297" s="60">
        <f t="shared" si="42"/>
        <v>0.95447954959736159</v>
      </c>
    </row>
    <row r="298" spans="2:9" x14ac:dyDescent="0.25">
      <c r="B298" s="58">
        <f t="shared" si="35"/>
        <v>288</v>
      </c>
      <c r="C298" s="58">
        <f t="shared" si="36"/>
        <v>251415.06537186692</v>
      </c>
      <c r="D298" s="59">
        <f t="shared" si="37"/>
        <v>19793.881511166648</v>
      </c>
      <c r="E298" s="59">
        <f t="shared" si="38"/>
        <v>838.05021790622311</v>
      </c>
      <c r="F298" s="59">
        <f t="shared" si="39"/>
        <v>18955.831293260424</v>
      </c>
      <c r="G298" s="59">
        <f t="shared" si="40"/>
        <v>232459.2340786065</v>
      </c>
      <c r="H298" s="60">
        <f t="shared" si="41"/>
        <v>4.2338851903980533E-2</v>
      </c>
      <c r="I298" s="60">
        <f t="shared" si="42"/>
        <v>0.95766114809601943</v>
      </c>
    </row>
    <row r="299" spans="2:9" x14ac:dyDescent="0.25">
      <c r="B299" s="58">
        <f t="shared" si="35"/>
        <v>289</v>
      </c>
      <c r="C299" s="58">
        <f t="shared" si="36"/>
        <v>232459.2340786065</v>
      </c>
      <c r="D299" s="59">
        <f t="shared" si="37"/>
        <v>19793.881511166648</v>
      </c>
      <c r="E299" s="59">
        <f t="shared" si="38"/>
        <v>774.86411359535509</v>
      </c>
      <c r="F299" s="59">
        <f t="shared" si="39"/>
        <v>19019.017397571293</v>
      </c>
      <c r="G299" s="59">
        <f t="shared" si="40"/>
        <v>213440.21668103521</v>
      </c>
      <c r="H299" s="60">
        <f t="shared" si="41"/>
        <v>3.9146648076993806E-2</v>
      </c>
      <c r="I299" s="60">
        <f t="shared" si="42"/>
        <v>0.96085335192300625</v>
      </c>
    </row>
    <row r="300" spans="2:9" x14ac:dyDescent="0.25">
      <c r="B300" s="58">
        <f t="shared" si="35"/>
        <v>290</v>
      </c>
      <c r="C300" s="58">
        <f t="shared" si="36"/>
        <v>213440.21668103521</v>
      </c>
      <c r="D300" s="59">
        <f t="shared" si="37"/>
        <v>19793.881511166648</v>
      </c>
      <c r="E300" s="59">
        <f t="shared" si="38"/>
        <v>711.46738893678412</v>
      </c>
      <c r="F300" s="59">
        <f t="shared" si="39"/>
        <v>19082.414122229864</v>
      </c>
      <c r="G300" s="59">
        <f t="shared" si="40"/>
        <v>194357.80255880533</v>
      </c>
      <c r="H300" s="60">
        <f t="shared" si="41"/>
        <v>3.5943803570583785E-2</v>
      </c>
      <c r="I300" s="60">
        <f t="shared" si="42"/>
        <v>0.9640561964294162</v>
      </c>
    </row>
    <row r="301" spans="2:9" x14ac:dyDescent="0.25">
      <c r="B301" s="58">
        <f t="shared" si="35"/>
        <v>291</v>
      </c>
      <c r="C301" s="58">
        <f t="shared" si="36"/>
        <v>194357.80255880533</v>
      </c>
      <c r="D301" s="59">
        <f t="shared" si="37"/>
        <v>19793.881511166648</v>
      </c>
      <c r="E301" s="59">
        <f t="shared" si="38"/>
        <v>647.85934186268446</v>
      </c>
      <c r="F301" s="59">
        <f t="shared" si="39"/>
        <v>19146.022169303964</v>
      </c>
      <c r="G301" s="59">
        <f t="shared" si="40"/>
        <v>175211.78038950136</v>
      </c>
      <c r="H301" s="60">
        <f t="shared" si="41"/>
        <v>3.2730282915819059E-2</v>
      </c>
      <c r="I301" s="60">
        <f t="shared" si="42"/>
        <v>0.96726971708418097</v>
      </c>
    </row>
    <row r="302" spans="2:9" x14ac:dyDescent="0.25">
      <c r="B302" s="58">
        <f t="shared" si="35"/>
        <v>292</v>
      </c>
      <c r="C302" s="58">
        <f t="shared" si="36"/>
        <v>175211.78038950136</v>
      </c>
      <c r="D302" s="59">
        <f t="shared" si="37"/>
        <v>19793.881511166648</v>
      </c>
      <c r="E302" s="59">
        <f t="shared" si="38"/>
        <v>584.03926796500457</v>
      </c>
      <c r="F302" s="59">
        <f t="shared" si="39"/>
        <v>19209.842243201645</v>
      </c>
      <c r="G302" s="59">
        <f t="shared" si="40"/>
        <v>156001.93814629971</v>
      </c>
      <c r="H302" s="60">
        <f t="shared" si="41"/>
        <v>2.9506050525538455E-2</v>
      </c>
      <c r="I302" s="60">
        <f t="shared" si="42"/>
        <v>0.97049394947446166</v>
      </c>
    </row>
    <row r="303" spans="2:9" x14ac:dyDescent="0.25">
      <c r="B303" s="58">
        <f t="shared" si="35"/>
        <v>293</v>
      </c>
      <c r="C303" s="58">
        <f t="shared" si="36"/>
        <v>156001.93814629971</v>
      </c>
      <c r="D303" s="59">
        <f t="shared" si="37"/>
        <v>19793.881511166648</v>
      </c>
      <c r="E303" s="59">
        <f t="shared" si="38"/>
        <v>520.00646048766578</v>
      </c>
      <c r="F303" s="59">
        <f t="shared" si="39"/>
        <v>19273.875050678984</v>
      </c>
      <c r="G303" s="59">
        <f t="shared" si="40"/>
        <v>136728.06309562072</v>
      </c>
      <c r="H303" s="60">
        <f t="shared" si="41"/>
        <v>2.6271070693956917E-2</v>
      </c>
      <c r="I303" s="60">
        <f t="shared" si="42"/>
        <v>0.97372892930604316</v>
      </c>
    </row>
    <row r="304" spans="2:9" x14ac:dyDescent="0.25">
      <c r="B304" s="58">
        <f t="shared" si="35"/>
        <v>294</v>
      </c>
      <c r="C304" s="58">
        <f t="shared" si="36"/>
        <v>136728.06309562072</v>
      </c>
      <c r="D304" s="59">
        <f t="shared" si="37"/>
        <v>19793.881511166648</v>
      </c>
      <c r="E304" s="59">
        <f t="shared" si="38"/>
        <v>455.76021031873574</v>
      </c>
      <c r="F304" s="59">
        <f t="shared" si="39"/>
        <v>19338.121300847914</v>
      </c>
      <c r="G304" s="59">
        <f t="shared" si="40"/>
        <v>117389.94179477281</v>
      </c>
      <c r="H304" s="60">
        <f t="shared" si="41"/>
        <v>2.3025307596270101E-2</v>
      </c>
      <c r="I304" s="60">
        <f t="shared" si="42"/>
        <v>0.97697469240372992</v>
      </c>
    </row>
    <row r="305" spans="2:9" x14ac:dyDescent="0.25">
      <c r="B305" s="58">
        <f t="shared" si="35"/>
        <v>295</v>
      </c>
      <c r="C305" s="58">
        <f t="shared" si="36"/>
        <v>117389.94179477281</v>
      </c>
      <c r="D305" s="59">
        <f t="shared" si="37"/>
        <v>19793.881511166648</v>
      </c>
      <c r="E305" s="59">
        <f t="shared" si="38"/>
        <v>391.29980598257606</v>
      </c>
      <c r="F305" s="59">
        <f t="shared" si="39"/>
        <v>19402.581705184071</v>
      </c>
      <c r="G305" s="59">
        <f t="shared" si="40"/>
        <v>97987.360089588736</v>
      </c>
      <c r="H305" s="60">
        <f t="shared" si="41"/>
        <v>1.9768725288257669E-2</v>
      </c>
      <c r="I305" s="60">
        <f t="shared" si="42"/>
        <v>0.98023127471174232</v>
      </c>
    </row>
    <row r="306" spans="2:9" x14ac:dyDescent="0.25">
      <c r="B306" s="58">
        <f t="shared" si="35"/>
        <v>296</v>
      </c>
      <c r="C306" s="58">
        <f t="shared" si="36"/>
        <v>97987.360089588736</v>
      </c>
      <c r="D306" s="59">
        <f t="shared" si="37"/>
        <v>19793.881511166648</v>
      </c>
      <c r="E306" s="59">
        <f t="shared" si="38"/>
        <v>326.62453363196249</v>
      </c>
      <c r="F306" s="59">
        <f t="shared" si="39"/>
        <v>19467.256977534686</v>
      </c>
      <c r="G306" s="59">
        <f t="shared" si="40"/>
        <v>78520.103112054057</v>
      </c>
      <c r="H306" s="60">
        <f t="shared" si="41"/>
        <v>1.6501287705885197E-2</v>
      </c>
      <c r="I306" s="60">
        <f t="shared" si="42"/>
        <v>0.98349871229411479</v>
      </c>
    </row>
    <row r="307" spans="2:9" x14ac:dyDescent="0.25">
      <c r="B307" s="58">
        <f t="shared" si="35"/>
        <v>297</v>
      </c>
      <c r="C307" s="58">
        <f t="shared" si="36"/>
        <v>78520.103112054057</v>
      </c>
      <c r="D307" s="59">
        <f t="shared" si="37"/>
        <v>19793.881511166648</v>
      </c>
      <c r="E307" s="59">
        <f t="shared" si="38"/>
        <v>261.73367704018023</v>
      </c>
      <c r="F307" s="59">
        <f t="shared" si="39"/>
        <v>19532.147834126466</v>
      </c>
      <c r="G307" s="59">
        <f t="shared" si="40"/>
        <v>58987.955277927591</v>
      </c>
      <c r="H307" s="60">
        <f t="shared" si="41"/>
        <v>1.3222958664904813E-2</v>
      </c>
      <c r="I307" s="60">
        <f t="shared" si="42"/>
        <v>0.98677704133509514</v>
      </c>
    </row>
    <row r="308" spans="2:9" x14ac:dyDescent="0.25">
      <c r="B308" s="58">
        <f t="shared" si="35"/>
        <v>298</v>
      </c>
      <c r="C308" s="58">
        <f t="shared" si="36"/>
        <v>58987.955277927591</v>
      </c>
      <c r="D308" s="59">
        <f t="shared" si="37"/>
        <v>19793.881511166648</v>
      </c>
      <c r="E308" s="59">
        <f t="shared" si="38"/>
        <v>196.62651759309199</v>
      </c>
      <c r="F308" s="59">
        <f t="shared" si="39"/>
        <v>19597.254993573555</v>
      </c>
      <c r="G308" s="59">
        <f t="shared" si="40"/>
        <v>39390.700284354039</v>
      </c>
      <c r="H308" s="60">
        <f t="shared" si="41"/>
        <v>9.9337018604544955E-3</v>
      </c>
      <c r="I308" s="60">
        <f t="shared" si="42"/>
        <v>0.9900662981395455</v>
      </c>
    </row>
    <row r="309" spans="2:9" x14ac:dyDescent="0.25">
      <c r="B309" s="58">
        <f t="shared" si="35"/>
        <v>299</v>
      </c>
      <c r="C309" s="58">
        <f t="shared" si="36"/>
        <v>39390.700284354039</v>
      </c>
      <c r="D309" s="59">
        <f t="shared" si="37"/>
        <v>19793.881511166648</v>
      </c>
      <c r="E309" s="59">
        <f t="shared" si="38"/>
        <v>131.30233428118015</v>
      </c>
      <c r="F309" s="59">
        <f t="shared" si="39"/>
        <v>19662.579176885469</v>
      </c>
      <c r="G309" s="59">
        <f t="shared" si="40"/>
        <v>19728.121107468571</v>
      </c>
      <c r="H309" s="60">
        <f t="shared" si="41"/>
        <v>6.6334808666560123E-3</v>
      </c>
      <c r="I309" s="60">
        <f t="shared" si="42"/>
        <v>0.99336651913334406</v>
      </c>
    </row>
    <row r="310" spans="2:9" x14ac:dyDescent="0.25">
      <c r="B310" s="58">
        <f t="shared" si="35"/>
        <v>300</v>
      </c>
      <c r="C310" s="58">
        <f t="shared" si="36"/>
        <v>19728.121107468571</v>
      </c>
      <c r="D310" s="59">
        <f t="shared" si="37"/>
        <v>19793.881511166648</v>
      </c>
      <c r="E310" s="59">
        <f t="shared" si="38"/>
        <v>65.760403691561905</v>
      </c>
      <c r="F310" s="59">
        <f t="shared" si="39"/>
        <v>19728.121107475086</v>
      </c>
      <c r="G310" s="59">
        <f t="shared" si="40"/>
        <v>-6.5156200435012579E-9</v>
      </c>
      <c r="H310" s="60">
        <f t="shared" si="41"/>
        <v>3.3222591362115309E-3</v>
      </c>
      <c r="I310" s="60">
        <f t="shared" si="42"/>
        <v>0.99667774086378846</v>
      </c>
    </row>
    <row r="311" spans="2:9" x14ac:dyDescent="0.25">
      <c r="B311" s="58"/>
      <c r="C311" s="58"/>
      <c r="D311" s="59"/>
      <c r="E311" s="59"/>
      <c r="F311" s="59"/>
      <c r="G311" s="59"/>
      <c r="H311" s="60"/>
      <c r="I311" s="60"/>
    </row>
    <row r="312" spans="2:9" x14ac:dyDescent="0.25">
      <c r="B312" s="58"/>
      <c r="C312" s="58"/>
      <c r="D312" s="59"/>
      <c r="E312" s="59"/>
      <c r="F312" s="59"/>
      <c r="G312" s="59"/>
      <c r="H312" s="60"/>
      <c r="I312" s="60"/>
    </row>
    <row r="313" spans="2:9" x14ac:dyDescent="0.25">
      <c r="B313" s="58"/>
      <c r="C313" s="58"/>
      <c r="D313" s="59"/>
      <c r="E313" s="59"/>
      <c r="F313" s="59"/>
      <c r="G313" s="59"/>
      <c r="H313" s="60"/>
      <c r="I313" s="60"/>
    </row>
    <row r="314" spans="2:9" x14ac:dyDescent="0.25">
      <c r="B314" s="58"/>
      <c r="C314" s="58"/>
      <c r="D314" s="59"/>
      <c r="E314" s="59"/>
      <c r="F314" s="59"/>
      <c r="G314" s="59"/>
      <c r="H314" s="60"/>
      <c r="I314" s="60"/>
    </row>
    <row r="315" spans="2:9" x14ac:dyDescent="0.25">
      <c r="B315" s="58"/>
      <c r="C315" s="58"/>
      <c r="D315" s="59"/>
      <c r="E315" s="59"/>
      <c r="F315" s="59"/>
      <c r="G315" s="59"/>
      <c r="H315" s="60"/>
      <c r="I315" s="60"/>
    </row>
    <row r="316" spans="2:9" x14ac:dyDescent="0.25">
      <c r="B316" s="58"/>
      <c r="C316" s="58"/>
      <c r="D316" s="59"/>
      <c r="E316" s="59"/>
      <c r="F316" s="59"/>
      <c r="G316" s="59"/>
      <c r="H316" s="60"/>
      <c r="I316" s="60"/>
    </row>
    <row r="317" spans="2:9" x14ac:dyDescent="0.25">
      <c r="B317" s="58"/>
      <c r="C317" s="58"/>
      <c r="D317" s="59"/>
      <c r="E317" s="59"/>
      <c r="F317" s="59"/>
      <c r="G317" s="59"/>
      <c r="H317" s="60"/>
      <c r="I317" s="60"/>
    </row>
    <row r="318" spans="2:9" x14ac:dyDescent="0.25">
      <c r="B318" s="58"/>
      <c r="C318" s="58"/>
      <c r="D318" s="59"/>
      <c r="E318" s="59"/>
      <c r="F318" s="59"/>
      <c r="G318" s="59"/>
      <c r="H318" s="60"/>
      <c r="I318" s="60"/>
    </row>
    <row r="319" spans="2:9" x14ac:dyDescent="0.25">
      <c r="B319" s="58"/>
      <c r="C319" s="58"/>
      <c r="D319" s="59"/>
      <c r="E319" s="59"/>
      <c r="F319" s="59"/>
      <c r="G319" s="59"/>
      <c r="H319" s="60"/>
      <c r="I319" s="60"/>
    </row>
    <row r="320" spans="2:9" x14ac:dyDescent="0.25">
      <c r="B320" s="58"/>
      <c r="C320" s="58"/>
      <c r="D320" s="59"/>
      <c r="E320" s="59"/>
      <c r="F320" s="59"/>
      <c r="G320" s="59"/>
      <c r="H320" s="60"/>
      <c r="I320" s="60"/>
    </row>
    <row r="321" spans="2:9" x14ac:dyDescent="0.25">
      <c r="B321" s="58"/>
      <c r="C321" s="58"/>
      <c r="D321" s="59"/>
      <c r="E321" s="59"/>
      <c r="F321" s="59"/>
      <c r="G321" s="59"/>
      <c r="H321" s="60"/>
      <c r="I321" s="60"/>
    </row>
    <row r="322" spans="2:9" x14ac:dyDescent="0.25">
      <c r="B322" s="58"/>
      <c r="C322" s="58"/>
      <c r="D322" s="59"/>
      <c r="E322" s="59"/>
      <c r="F322" s="59"/>
      <c r="G322" s="59"/>
      <c r="H322" s="60"/>
      <c r="I322" s="60"/>
    </row>
    <row r="323" spans="2:9" x14ac:dyDescent="0.25">
      <c r="B323" s="58"/>
      <c r="C323" s="58"/>
      <c r="D323" s="59"/>
      <c r="E323" s="59"/>
      <c r="F323" s="59"/>
      <c r="G323" s="59"/>
      <c r="H323" s="60"/>
      <c r="I323" s="60"/>
    </row>
    <row r="324" spans="2:9" x14ac:dyDescent="0.25">
      <c r="B324" s="58"/>
      <c r="C324" s="58"/>
      <c r="D324" s="59"/>
      <c r="E324" s="59"/>
      <c r="F324" s="59"/>
      <c r="G324" s="59"/>
      <c r="H324" s="60"/>
      <c r="I324" s="60"/>
    </row>
    <row r="325" spans="2:9" x14ac:dyDescent="0.25">
      <c r="B325" s="58"/>
      <c r="C325" s="58"/>
      <c r="D325" s="59"/>
      <c r="E325" s="59"/>
      <c r="F325" s="59"/>
      <c r="G325" s="59"/>
      <c r="H325" s="60"/>
      <c r="I325" s="60"/>
    </row>
    <row r="326" spans="2:9" x14ac:dyDescent="0.25">
      <c r="B326" s="58"/>
      <c r="C326" s="58"/>
      <c r="D326" s="59"/>
      <c r="E326" s="59"/>
      <c r="F326" s="59"/>
      <c r="G326" s="59"/>
      <c r="H326" s="60"/>
      <c r="I326" s="60"/>
    </row>
    <row r="327" spans="2:9" x14ac:dyDescent="0.25">
      <c r="B327" s="58"/>
      <c r="C327" s="58"/>
      <c r="D327" s="59"/>
      <c r="E327" s="59"/>
      <c r="F327" s="59"/>
      <c r="G327" s="59"/>
      <c r="H327" s="60"/>
      <c r="I327" s="60"/>
    </row>
    <row r="328" spans="2:9" x14ac:dyDescent="0.25">
      <c r="B328" s="58"/>
      <c r="C328" s="58"/>
      <c r="D328" s="59"/>
      <c r="E328" s="59"/>
      <c r="F328" s="59"/>
      <c r="G328" s="59"/>
      <c r="H328" s="60"/>
      <c r="I328" s="60"/>
    </row>
    <row r="329" spans="2:9" x14ac:dyDescent="0.25">
      <c r="B329" s="58"/>
      <c r="C329" s="58"/>
      <c r="D329" s="59"/>
      <c r="E329" s="59"/>
      <c r="F329" s="59"/>
      <c r="G329" s="59"/>
      <c r="H329" s="60"/>
      <c r="I329" s="60"/>
    </row>
    <row r="330" spans="2:9" x14ac:dyDescent="0.25">
      <c r="B330" s="58"/>
      <c r="C330" s="58"/>
      <c r="D330" s="59"/>
      <c r="E330" s="59"/>
      <c r="F330" s="59"/>
      <c r="G330" s="59"/>
      <c r="H330" s="60"/>
      <c r="I330" s="60"/>
    </row>
    <row r="331" spans="2:9" x14ac:dyDescent="0.25">
      <c r="B331" s="58"/>
      <c r="C331" s="58"/>
      <c r="D331" s="59"/>
      <c r="E331" s="59"/>
      <c r="F331" s="59"/>
      <c r="G331" s="59"/>
      <c r="H331" s="60"/>
      <c r="I331" s="60"/>
    </row>
    <row r="332" spans="2:9" x14ac:dyDescent="0.25">
      <c r="B332" s="58"/>
      <c r="C332" s="58"/>
      <c r="D332" s="59"/>
      <c r="E332" s="59"/>
      <c r="F332" s="59"/>
      <c r="G332" s="59"/>
      <c r="H332" s="60"/>
      <c r="I332" s="60"/>
    </row>
    <row r="333" spans="2:9" x14ac:dyDescent="0.25">
      <c r="B333" s="58"/>
      <c r="C333" s="58"/>
      <c r="D333" s="59"/>
      <c r="E333" s="59"/>
      <c r="F333" s="59"/>
      <c r="G333" s="59"/>
      <c r="H333" s="60"/>
      <c r="I333" s="60"/>
    </row>
    <row r="334" spans="2:9" x14ac:dyDescent="0.25">
      <c r="B334" s="58"/>
      <c r="C334" s="58"/>
      <c r="D334" s="59"/>
      <c r="E334" s="59"/>
      <c r="F334" s="59"/>
      <c r="G334" s="59"/>
      <c r="H334" s="60"/>
      <c r="I334" s="60"/>
    </row>
    <row r="335" spans="2:9" x14ac:dyDescent="0.25">
      <c r="B335" s="58"/>
      <c r="C335" s="58"/>
      <c r="D335" s="59"/>
      <c r="E335" s="59"/>
      <c r="F335" s="59"/>
      <c r="G335" s="59"/>
      <c r="H335" s="60"/>
      <c r="I335" s="60"/>
    </row>
    <row r="336" spans="2:9" x14ac:dyDescent="0.25">
      <c r="B336" s="58"/>
      <c r="C336" s="58"/>
      <c r="D336" s="59"/>
      <c r="E336" s="59"/>
      <c r="F336" s="59"/>
      <c r="G336" s="59"/>
      <c r="H336" s="60"/>
      <c r="I336" s="60"/>
    </row>
    <row r="337" spans="2:9" x14ac:dyDescent="0.25">
      <c r="B337" s="58"/>
      <c r="C337" s="58"/>
      <c r="D337" s="59"/>
      <c r="E337" s="59"/>
      <c r="F337" s="59"/>
      <c r="G337" s="59"/>
      <c r="H337" s="60"/>
      <c r="I337" s="60"/>
    </row>
    <row r="338" spans="2:9" x14ac:dyDescent="0.25">
      <c r="B338" s="58"/>
      <c r="C338" s="58"/>
      <c r="D338" s="59"/>
      <c r="E338" s="59"/>
      <c r="F338" s="59"/>
      <c r="G338" s="59"/>
      <c r="H338" s="60"/>
      <c r="I338" s="60"/>
    </row>
    <row r="339" spans="2:9" x14ac:dyDescent="0.25">
      <c r="B339" s="58"/>
      <c r="C339" s="58"/>
      <c r="D339" s="59"/>
      <c r="E339" s="59"/>
      <c r="F339" s="59"/>
      <c r="G339" s="59"/>
      <c r="H339" s="60"/>
      <c r="I339" s="60"/>
    </row>
    <row r="340" spans="2:9" x14ac:dyDescent="0.25">
      <c r="B340" s="58"/>
      <c r="C340" s="58"/>
      <c r="D340" s="59"/>
      <c r="E340" s="59"/>
      <c r="F340" s="59"/>
      <c r="G340" s="59"/>
      <c r="H340" s="60"/>
      <c r="I340" s="60"/>
    </row>
    <row r="341" spans="2:9" x14ac:dyDescent="0.25">
      <c r="B341" s="58"/>
      <c r="C341" s="58"/>
      <c r="D341" s="59"/>
      <c r="E341" s="59"/>
      <c r="F341" s="59"/>
      <c r="G341" s="59"/>
      <c r="H341" s="60"/>
      <c r="I341" s="60"/>
    </row>
    <row r="342" spans="2:9" x14ac:dyDescent="0.25">
      <c r="B342" s="58"/>
      <c r="C342" s="58"/>
      <c r="D342" s="59"/>
      <c r="E342" s="59"/>
      <c r="F342" s="59"/>
      <c r="G342" s="59"/>
      <c r="H342" s="60"/>
      <c r="I342" s="60"/>
    </row>
    <row r="343" spans="2:9" x14ac:dyDescent="0.25">
      <c r="B343" s="58"/>
      <c r="C343" s="58"/>
      <c r="D343" s="59"/>
      <c r="E343" s="59"/>
      <c r="F343" s="59"/>
      <c r="G343" s="59"/>
      <c r="H343" s="60"/>
      <c r="I343" s="60"/>
    </row>
    <row r="344" spans="2:9" x14ac:dyDescent="0.25">
      <c r="B344" s="58"/>
      <c r="C344" s="58"/>
      <c r="D344" s="59"/>
      <c r="E344" s="59"/>
      <c r="F344" s="59"/>
      <c r="G344" s="59"/>
      <c r="H344" s="60"/>
      <c r="I344" s="60"/>
    </row>
    <row r="345" spans="2:9" x14ac:dyDescent="0.25">
      <c r="B345" s="58"/>
      <c r="C345" s="58"/>
      <c r="D345" s="59"/>
      <c r="E345" s="59"/>
      <c r="F345" s="59"/>
      <c r="G345" s="59"/>
      <c r="H345" s="60"/>
      <c r="I345" s="60"/>
    </row>
    <row r="346" spans="2:9" x14ac:dyDescent="0.25">
      <c r="B346" s="58"/>
      <c r="C346" s="58"/>
      <c r="D346" s="59"/>
      <c r="E346" s="59"/>
      <c r="F346" s="59"/>
      <c r="G346" s="59"/>
      <c r="H346" s="60"/>
      <c r="I346" s="60"/>
    </row>
    <row r="347" spans="2:9" x14ac:dyDescent="0.25">
      <c r="B347" s="58"/>
      <c r="C347" s="58"/>
      <c r="D347" s="59"/>
      <c r="E347" s="59"/>
      <c r="F347" s="59"/>
      <c r="G347" s="59"/>
      <c r="H347" s="60"/>
      <c r="I347" s="60"/>
    </row>
    <row r="348" spans="2:9" x14ac:dyDescent="0.25">
      <c r="B348" s="58"/>
      <c r="C348" s="58"/>
      <c r="D348" s="59"/>
      <c r="E348" s="59"/>
      <c r="F348" s="59"/>
      <c r="G348" s="59"/>
      <c r="H348" s="60"/>
      <c r="I348" s="60"/>
    </row>
    <row r="349" spans="2:9" x14ac:dyDescent="0.25">
      <c r="B349" s="58"/>
      <c r="C349" s="58"/>
      <c r="D349" s="59"/>
      <c r="E349" s="59"/>
      <c r="F349" s="59"/>
      <c r="G349" s="59"/>
      <c r="H349" s="60"/>
      <c r="I349" s="60"/>
    </row>
    <row r="350" spans="2:9" x14ac:dyDescent="0.25">
      <c r="B350" s="58"/>
      <c r="C350" s="58"/>
      <c r="D350" s="59"/>
      <c r="E350" s="59"/>
      <c r="F350" s="59"/>
      <c r="G350" s="59"/>
      <c r="H350" s="60"/>
      <c r="I350" s="60"/>
    </row>
    <row r="351" spans="2:9" x14ac:dyDescent="0.25">
      <c r="B351" s="58"/>
      <c r="C351" s="58"/>
      <c r="D351" s="59"/>
      <c r="E351" s="59"/>
      <c r="F351" s="59"/>
      <c r="G351" s="59"/>
      <c r="H351" s="60"/>
      <c r="I351" s="60"/>
    </row>
    <row r="352" spans="2:9" x14ac:dyDescent="0.25">
      <c r="B352" s="58"/>
      <c r="C352" s="58"/>
      <c r="D352" s="59"/>
      <c r="E352" s="59"/>
      <c r="F352" s="59"/>
      <c r="G352" s="59"/>
      <c r="H352" s="60"/>
      <c r="I352" s="60"/>
    </row>
    <row r="353" spans="2:9" x14ac:dyDescent="0.25">
      <c r="B353" s="58"/>
      <c r="C353" s="58"/>
      <c r="D353" s="59"/>
      <c r="E353" s="59"/>
      <c r="F353" s="59"/>
      <c r="G353" s="59"/>
      <c r="H353" s="60"/>
      <c r="I353" s="60"/>
    </row>
    <row r="354" spans="2:9" x14ac:dyDescent="0.25">
      <c r="B354" s="58"/>
      <c r="C354" s="58"/>
      <c r="D354" s="59"/>
      <c r="E354" s="59"/>
      <c r="F354" s="59"/>
      <c r="G354" s="59"/>
      <c r="H354" s="60"/>
      <c r="I354" s="60"/>
    </row>
    <row r="355" spans="2:9" x14ac:dyDescent="0.25">
      <c r="B355" s="58"/>
      <c r="C355" s="58"/>
      <c r="D355" s="59"/>
      <c r="E355" s="59"/>
      <c r="F355" s="59"/>
      <c r="G355" s="59"/>
      <c r="H355" s="60"/>
      <c r="I355" s="60"/>
    </row>
    <row r="356" spans="2:9" x14ac:dyDescent="0.25">
      <c r="B356" s="58"/>
      <c r="C356" s="58"/>
      <c r="D356" s="59"/>
      <c r="E356" s="59"/>
      <c r="F356" s="59"/>
      <c r="G356" s="59"/>
      <c r="H356" s="60"/>
      <c r="I356" s="60"/>
    </row>
    <row r="357" spans="2:9" x14ac:dyDescent="0.25">
      <c r="B357" s="58"/>
      <c r="C357" s="58"/>
      <c r="D357" s="59"/>
      <c r="E357" s="59"/>
      <c r="F357" s="59"/>
      <c r="G357" s="59"/>
      <c r="H357" s="60"/>
      <c r="I357" s="60"/>
    </row>
    <row r="358" spans="2:9" x14ac:dyDescent="0.25">
      <c r="B358" s="58"/>
      <c r="C358" s="58"/>
      <c r="D358" s="59"/>
      <c r="E358" s="59"/>
      <c r="F358" s="59"/>
      <c r="G358" s="59"/>
      <c r="H358" s="60"/>
      <c r="I358" s="60"/>
    </row>
    <row r="359" spans="2:9" x14ac:dyDescent="0.25">
      <c r="B359" s="58"/>
      <c r="C359" s="58"/>
      <c r="D359" s="59"/>
      <c r="E359" s="59"/>
      <c r="F359" s="59"/>
      <c r="G359" s="59"/>
      <c r="H359" s="60"/>
      <c r="I359" s="60"/>
    </row>
    <row r="360" spans="2:9" x14ac:dyDescent="0.25">
      <c r="B360" s="58"/>
      <c r="C360" s="58"/>
      <c r="D360" s="59"/>
      <c r="E360" s="59"/>
      <c r="F360" s="59"/>
      <c r="G360" s="59"/>
      <c r="H360" s="60"/>
      <c r="I360" s="60"/>
    </row>
    <row r="361" spans="2:9" x14ac:dyDescent="0.25">
      <c r="B361" s="58"/>
      <c r="C361" s="58"/>
      <c r="D361" s="59"/>
      <c r="E361" s="59"/>
      <c r="F361" s="59"/>
      <c r="G361" s="59"/>
      <c r="H361" s="60"/>
      <c r="I361" s="60"/>
    </row>
    <row r="362" spans="2:9" x14ac:dyDescent="0.25">
      <c r="B362" s="58"/>
      <c r="C362" s="58"/>
      <c r="D362" s="59"/>
      <c r="E362" s="59"/>
      <c r="F362" s="59"/>
      <c r="G362" s="59"/>
      <c r="H362" s="60"/>
      <c r="I362" s="60"/>
    </row>
    <row r="363" spans="2:9" x14ac:dyDescent="0.25">
      <c r="B363" s="58"/>
      <c r="C363" s="58"/>
      <c r="D363" s="59"/>
      <c r="E363" s="59"/>
      <c r="F363" s="59"/>
      <c r="G363" s="59"/>
      <c r="H363" s="60"/>
      <c r="I363" s="60"/>
    </row>
    <row r="364" spans="2:9" x14ac:dyDescent="0.25">
      <c r="B364" s="58"/>
      <c r="C364" s="58"/>
      <c r="D364" s="59"/>
      <c r="E364" s="59"/>
      <c r="F364" s="59"/>
      <c r="G364" s="59"/>
      <c r="H364" s="60"/>
      <c r="I364" s="60"/>
    </row>
    <row r="365" spans="2:9" x14ac:dyDescent="0.25">
      <c r="B365" s="58"/>
      <c r="C365" s="58"/>
      <c r="D365" s="59"/>
      <c r="E365" s="59"/>
      <c r="F365" s="59"/>
      <c r="G365" s="59"/>
      <c r="H365" s="60"/>
      <c r="I365" s="60"/>
    </row>
    <row r="366" spans="2:9" x14ac:dyDescent="0.25">
      <c r="B366" s="58"/>
      <c r="C366" s="58"/>
      <c r="D366" s="59"/>
      <c r="E366" s="59"/>
      <c r="F366" s="59"/>
      <c r="G366" s="59"/>
      <c r="H366" s="60"/>
      <c r="I366" s="60"/>
    </row>
    <row r="367" spans="2:9" x14ac:dyDescent="0.25">
      <c r="B367" s="58"/>
      <c r="C367" s="58"/>
      <c r="D367" s="59"/>
      <c r="E367" s="59"/>
      <c r="F367" s="59"/>
      <c r="G367" s="59"/>
      <c r="H367" s="60"/>
      <c r="I367" s="60"/>
    </row>
    <row r="368" spans="2:9" x14ac:dyDescent="0.25">
      <c r="B368" s="58"/>
      <c r="C368" s="58"/>
      <c r="D368" s="59"/>
      <c r="E368" s="59"/>
      <c r="F368" s="59"/>
      <c r="G368" s="59"/>
      <c r="H368" s="60"/>
      <c r="I368" s="60"/>
    </row>
    <row r="369" spans="2:9" x14ac:dyDescent="0.25">
      <c r="B369" s="58"/>
      <c r="C369" s="58"/>
      <c r="D369" s="59"/>
      <c r="E369" s="59"/>
      <c r="F369" s="59"/>
      <c r="G369" s="59"/>
      <c r="H369" s="60"/>
      <c r="I369" s="60"/>
    </row>
    <row r="370" spans="2:9" x14ac:dyDescent="0.25">
      <c r="B370" s="58"/>
      <c r="C370" s="58"/>
      <c r="D370" s="59"/>
      <c r="E370" s="59"/>
      <c r="F370" s="59"/>
      <c r="G370" s="59"/>
      <c r="H370" s="60"/>
      <c r="I370" s="60"/>
    </row>
    <row r="371" spans="2:9" x14ac:dyDescent="0.25">
      <c r="B371" s="58"/>
      <c r="C371" s="58"/>
      <c r="D371" s="59"/>
      <c r="E371" s="59"/>
      <c r="F371" s="59"/>
      <c r="G371" s="59"/>
      <c r="H371" s="60"/>
      <c r="I371" s="60"/>
    </row>
    <row r="372" spans="2:9" x14ac:dyDescent="0.25">
      <c r="B372" s="58"/>
      <c r="C372" s="58"/>
      <c r="D372" s="59"/>
      <c r="E372" s="59"/>
      <c r="F372" s="59"/>
      <c r="G372" s="59"/>
      <c r="H372" s="60"/>
      <c r="I372" s="60"/>
    </row>
    <row r="373" spans="2:9" x14ac:dyDescent="0.25">
      <c r="B373" s="58"/>
      <c r="C373" s="58"/>
      <c r="D373" s="59"/>
      <c r="E373" s="59"/>
      <c r="F373" s="59"/>
      <c r="G373" s="59"/>
      <c r="H373" s="60"/>
      <c r="I373" s="60"/>
    </row>
    <row r="374" spans="2:9" x14ac:dyDescent="0.25">
      <c r="B374" s="58"/>
      <c r="C374" s="58"/>
      <c r="D374" s="59"/>
      <c r="E374" s="59"/>
      <c r="F374" s="59"/>
      <c r="G374" s="59"/>
      <c r="H374" s="60"/>
      <c r="I374" s="60"/>
    </row>
    <row r="375" spans="2:9" x14ac:dyDescent="0.25">
      <c r="B375" s="58"/>
      <c r="C375" s="58"/>
      <c r="D375" s="59"/>
      <c r="E375" s="59"/>
      <c r="F375" s="59"/>
      <c r="G375" s="59"/>
      <c r="H375" s="60"/>
      <c r="I375" s="60"/>
    </row>
    <row r="376" spans="2:9" x14ac:dyDescent="0.25">
      <c r="B376" s="58"/>
      <c r="C376" s="58"/>
      <c r="D376" s="59"/>
      <c r="E376" s="59"/>
      <c r="F376" s="59"/>
      <c r="G376" s="59"/>
      <c r="H376" s="60"/>
      <c r="I376" s="60"/>
    </row>
    <row r="377" spans="2:9" x14ac:dyDescent="0.25">
      <c r="B377" s="58"/>
      <c r="C377" s="58"/>
      <c r="D377" s="59"/>
      <c r="E377" s="59"/>
      <c r="F377" s="59"/>
      <c r="G377" s="59"/>
      <c r="H377" s="60"/>
      <c r="I377" s="60"/>
    </row>
    <row r="378" spans="2:9" x14ac:dyDescent="0.25">
      <c r="B378" s="58"/>
      <c r="C378" s="58"/>
      <c r="D378" s="59"/>
      <c r="E378" s="59"/>
      <c r="F378" s="59"/>
      <c r="G378" s="59"/>
      <c r="H378" s="60"/>
      <c r="I378" s="60"/>
    </row>
    <row r="379" spans="2:9" x14ac:dyDescent="0.25">
      <c r="B379" s="58"/>
      <c r="C379" s="58"/>
      <c r="D379" s="59"/>
      <c r="E379" s="59"/>
      <c r="F379" s="59"/>
      <c r="G379" s="59"/>
      <c r="H379" s="60"/>
      <c r="I379" s="60"/>
    </row>
    <row r="380" spans="2:9" x14ac:dyDescent="0.25">
      <c r="B380" s="58"/>
      <c r="C380" s="58"/>
      <c r="D380" s="59"/>
      <c r="E380" s="59"/>
      <c r="F380" s="59"/>
      <c r="G380" s="59"/>
      <c r="H380" s="60"/>
      <c r="I380" s="60"/>
    </row>
    <row r="381" spans="2:9" x14ac:dyDescent="0.25">
      <c r="B381" s="58"/>
      <c r="C381" s="58"/>
      <c r="D381" s="59"/>
      <c r="E381" s="59"/>
      <c r="F381" s="59"/>
      <c r="G381" s="59"/>
      <c r="H381" s="60"/>
      <c r="I381" s="60"/>
    </row>
    <row r="382" spans="2:9" x14ac:dyDescent="0.25">
      <c r="B382" s="58"/>
      <c r="C382" s="58"/>
      <c r="D382" s="59"/>
      <c r="E382" s="59"/>
      <c r="F382" s="59"/>
      <c r="G382" s="59"/>
      <c r="H382" s="60"/>
      <c r="I382" s="60"/>
    </row>
    <row r="383" spans="2:9" x14ac:dyDescent="0.25">
      <c r="B383" s="58"/>
      <c r="C383" s="58"/>
      <c r="D383" s="59"/>
      <c r="E383" s="59"/>
      <c r="F383" s="59"/>
      <c r="G383" s="59"/>
      <c r="H383" s="60"/>
      <c r="I383" s="60"/>
    </row>
    <row r="384" spans="2:9" x14ac:dyDescent="0.25">
      <c r="B384" s="58"/>
      <c r="C384" s="58"/>
      <c r="D384" s="59"/>
      <c r="E384" s="59"/>
      <c r="F384" s="59"/>
      <c r="G384" s="59"/>
      <c r="H384" s="60"/>
      <c r="I384" s="60"/>
    </row>
    <row r="385" spans="2:9" x14ac:dyDescent="0.25">
      <c r="B385" s="58"/>
      <c r="C385" s="58"/>
      <c r="D385" s="59"/>
      <c r="E385" s="59"/>
      <c r="F385" s="59"/>
      <c r="G385" s="59"/>
      <c r="H385" s="60"/>
      <c r="I385" s="60"/>
    </row>
    <row r="386" spans="2:9" x14ac:dyDescent="0.25">
      <c r="B386" s="58"/>
      <c r="C386" s="58"/>
      <c r="D386" s="59"/>
      <c r="E386" s="59"/>
      <c r="F386" s="59"/>
      <c r="G386" s="59"/>
      <c r="H386" s="60"/>
      <c r="I386" s="60"/>
    </row>
    <row r="387" spans="2:9" x14ac:dyDescent="0.25">
      <c r="B387" s="58"/>
      <c r="C387" s="58"/>
      <c r="D387" s="59"/>
      <c r="E387" s="59"/>
      <c r="F387" s="59"/>
      <c r="G387" s="59"/>
      <c r="H387" s="60"/>
      <c r="I387" s="60"/>
    </row>
    <row r="388" spans="2:9" x14ac:dyDescent="0.25">
      <c r="B388" s="58"/>
      <c r="C388" s="58"/>
      <c r="D388" s="59"/>
      <c r="E388" s="59"/>
      <c r="F388" s="59"/>
      <c r="G388" s="59"/>
      <c r="H388" s="60"/>
      <c r="I388" s="60"/>
    </row>
    <row r="389" spans="2:9" x14ac:dyDescent="0.25">
      <c r="B389" s="58"/>
      <c r="C389" s="58"/>
      <c r="D389" s="59"/>
      <c r="E389" s="59"/>
      <c r="F389" s="59"/>
      <c r="G389" s="59"/>
      <c r="H389" s="60"/>
      <c r="I389" s="60"/>
    </row>
    <row r="390" spans="2:9" x14ac:dyDescent="0.25">
      <c r="B390" s="58"/>
      <c r="C390" s="58"/>
      <c r="D390" s="59"/>
      <c r="E390" s="59"/>
      <c r="F390" s="59"/>
      <c r="G390" s="59"/>
      <c r="H390" s="60"/>
      <c r="I390" s="60"/>
    </row>
    <row r="391" spans="2:9" x14ac:dyDescent="0.25">
      <c r="B391" s="58"/>
      <c r="C391" s="58"/>
      <c r="D391" s="59"/>
      <c r="E391" s="59"/>
      <c r="F391" s="59"/>
      <c r="G391" s="59"/>
      <c r="H391" s="60"/>
      <c r="I391" s="60"/>
    </row>
    <row r="392" spans="2:9" x14ac:dyDescent="0.25">
      <c r="B392" s="58"/>
      <c r="C392" s="58"/>
      <c r="D392" s="59"/>
      <c r="E392" s="59"/>
      <c r="F392" s="59"/>
      <c r="G392" s="59"/>
      <c r="H392" s="60"/>
      <c r="I392" s="60"/>
    </row>
    <row r="393" spans="2:9" x14ac:dyDescent="0.25">
      <c r="B393" s="58"/>
      <c r="C393" s="58"/>
      <c r="D393" s="59"/>
      <c r="E393" s="59"/>
      <c r="F393" s="59"/>
      <c r="G393" s="59"/>
      <c r="H393" s="60"/>
      <c r="I393" s="60"/>
    </row>
    <row r="394" spans="2:9" x14ac:dyDescent="0.25">
      <c r="B394" s="58"/>
      <c r="C394" s="58"/>
      <c r="D394" s="59"/>
      <c r="E394" s="59"/>
      <c r="F394" s="59"/>
      <c r="G394" s="59"/>
      <c r="H394" s="60"/>
      <c r="I394" s="60"/>
    </row>
    <row r="395" spans="2:9" x14ac:dyDescent="0.25">
      <c r="B395" s="58"/>
      <c r="C395" s="58"/>
      <c r="D395" s="59"/>
      <c r="E395" s="59"/>
      <c r="F395" s="59"/>
      <c r="G395" s="59"/>
      <c r="H395" s="60"/>
      <c r="I395" s="60"/>
    </row>
    <row r="396" spans="2:9" x14ac:dyDescent="0.25">
      <c r="B396" s="58"/>
      <c r="C396" s="58"/>
      <c r="D396" s="59"/>
      <c r="E396" s="59"/>
      <c r="F396" s="59"/>
      <c r="G396" s="59"/>
      <c r="H396" s="60"/>
      <c r="I396" s="60"/>
    </row>
    <row r="397" spans="2:9" x14ac:dyDescent="0.25">
      <c r="B397" s="58"/>
      <c r="C397" s="58"/>
      <c r="D397" s="59"/>
      <c r="E397" s="59"/>
      <c r="F397" s="59"/>
      <c r="G397" s="59"/>
      <c r="H397" s="60"/>
      <c r="I397" s="60"/>
    </row>
    <row r="398" spans="2:9" x14ac:dyDescent="0.25">
      <c r="B398" s="58"/>
      <c r="C398" s="58"/>
      <c r="D398" s="59"/>
      <c r="E398" s="59"/>
      <c r="F398" s="59"/>
      <c r="G398" s="59"/>
      <c r="H398" s="60"/>
      <c r="I398" s="60"/>
    </row>
    <row r="399" spans="2:9" x14ac:dyDescent="0.25">
      <c r="B399" s="58"/>
      <c r="C399" s="58"/>
      <c r="D399" s="59"/>
      <c r="E399" s="59"/>
      <c r="F399" s="59"/>
      <c r="G399" s="59"/>
      <c r="H399" s="60"/>
      <c r="I399" s="60"/>
    </row>
    <row r="400" spans="2:9" x14ac:dyDescent="0.25">
      <c r="B400" s="58"/>
      <c r="C400" s="58"/>
      <c r="D400" s="59"/>
      <c r="E400" s="59"/>
      <c r="F400" s="59"/>
      <c r="G400" s="59"/>
      <c r="H400" s="60"/>
      <c r="I400" s="60"/>
    </row>
    <row r="401" spans="2:9" x14ac:dyDescent="0.25">
      <c r="B401" s="58"/>
      <c r="C401" s="58"/>
      <c r="D401" s="59"/>
      <c r="E401" s="59"/>
      <c r="F401" s="59"/>
      <c r="G401" s="59"/>
      <c r="H401" s="60"/>
      <c r="I401" s="60"/>
    </row>
    <row r="402" spans="2:9" x14ac:dyDescent="0.25">
      <c r="B402" s="58"/>
      <c r="C402" s="58"/>
      <c r="D402" s="59"/>
      <c r="E402" s="59"/>
      <c r="F402" s="59"/>
      <c r="G402" s="59"/>
      <c r="H402" s="60"/>
      <c r="I402" s="60"/>
    </row>
    <row r="403" spans="2:9" x14ac:dyDescent="0.25">
      <c r="B403" s="58"/>
      <c r="C403" s="58"/>
      <c r="D403" s="59"/>
      <c r="E403" s="59"/>
      <c r="F403" s="59"/>
      <c r="G403" s="59"/>
      <c r="H403" s="60"/>
      <c r="I403" s="60"/>
    </row>
    <row r="404" spans="2:9" x14ac:dyDescent="0.25">
      <c r="B404" s="58"/>
      <c r="C404" s="58"/>
      <c r="D404" s="59"/>
      <c r="E404" s="59"/>
      <c r="F404" s="59"/>
      <c r="G404" s="59"/>
      <c r="H404" s="60"/>
      <c r="I404" s="60"/>
    </row>
    <row r="405" spans="2:9" x14ac:dyDescent="0.25">
      <c r="B405" s="58"/>
      <c r="C405" s="58"/>
      <c r="D405" s="59"/>
      <c r="E405" s="59"/>
      <c r="F405" s="59"/>
      <c r="G405" s="59"/>
      <c r="H405" s="60"/>
      <c r="I405" s="60"/>
    </row>
    <row r="406" spans="2:9" x14ac:dyDescent="0.25">
      <c r="B406" s="58"/>
      <c r="C406" s="58"/>
      <c r="D406" s="59"/>
      <c r="E406" s="59"/>
      <c r="F406" s="59"/>
      <c r="G406" s="59"/>
      <c r="H406" s="60"/>
      <c r="I406" s="60"/>
    </row>
    <row r="407" spans="2:9" x14ac:dyDescent="0.25">
      <c r="B407" s="58"/>
      <c r="C407" s="58"/>
      <c r="D407" s="59"/>
      <c r="E407" s="59"/>
      <c r="F407" s="59"/>
      <c r="G407" s="59"/>
      <c r="H407" s="60"/>
      <c r="I407" s="60"/>
    </row>
    <row r="408" spans="2:9" x14ac:dyDescent="0.25">
      <c r="B408" s="58"/>
      <c r="C408" s="58"/>
      <c r="D408" s="59"/>
      <c r="E408" s="59"/>
      <c r="F408" s="59"/>
      <c r="G408" s="59"/>
      <c r="H408" s="60"/>
      <c r="I408" s="60"/>
    </row>
    <row r="409" spans="2:9" x14ac:dyDescent="0.25">
      <c r="B409" s="58"/>
      <c r="C409" s="58"/>
      <c r="D409" s="59"/>
      <c r="E409" s="59"/>
      <c r="F409" s="59"/>
      <c r="G409" s="59"/>
      <c r="H409" s="60"/>
      <c r="I409" s="60"/>
    </row>
    <row r="410" spans="2:9" x14ac:dyDescent="0.25">
      <c r="B410" s="58"/>
      <c r="C410" s="58"/>
      <c r="D410" s="59"/>
      <c r="E410" s="59"/>
      <c r="F410" s="59"/>
      <c r="G410" s="59"/>
      <c r="H410" s="60"/>
      <c r="I410" s="60"/>
    </row>
    <row r="411" spans="2:9" x14ac:dyDescent="0.25">
      <c r="B411" s="58"/>
      <c r="C411" s="58"/>
      <c r="D411" s="59"/>
      <c r="E411" s="59"/>
      <c r="F411" s="59"/>
      <c r="G411" s="59"/>
      <c r="H411" s="60"/>
      <c r="I411" s="60"/>
    </row>
    <row r="412" spans="2:9" x14ac:dyDescent="0.25">
      <c r="B412" s="58"/>
      <c r="C412" s="58"/>
      <c r="D412" s="59"/>
      <c r="E412" s="59"/>
      <c r="F412" s="59"/>
      <c r="G412" s="59"/>
      <c r="H412" s="60"/>
      <c r="I412" s="60"/>
    </row>
    <row r="413" spans="2:9" x14ac:dyDescent="0.25">
      <c r="B413" s="58"/>
      <c r="C413" s="58"/>
      <c r="D413" s="59"/>
      <c r="E413" s="59"/>
      <c r="F413" s="59"/>
      <c r="G413" s="59"/>
      <c r="H413" s="60"/>
      <c r="I413" s="60"/>
    </row>
    <row r="414" spans="2:9" x14ac:dyDescent="0.25">
      <c r="B414" s="58"/>
      <c r="C414" s="58"/>
      <c r="D414" s="59"/>
      <c r="E414" s="59"/>
      <c r="F414" s="59"/>
      <c r="G414" s="59"/>
      <c r="H414" s="60"/>
      <c r="I414" s="60"/>
    </row>
    <row r="415" spans="2:9" x14ac:dyDescent="0.25">
      <c r="B415" s="58"/>
      <c r="C415" s="58"/>
      <c r="D415" s="59"/>
      <c r="E415" s="59"/>
      <c r="F415" s="59"/>
      <c r="G415" s="59"/>
      <c r="H415" s="60"/>
      <c r="I415" s="60"/>
    </row>
    <row r="416" spans="2:9" x14ac:dyDescent="0.25">
      <c r="B416" s="58"/>
      <c r="C416" s="58"/>
      <c r="D416" s="59"/>
      <c r="E416" s="59"/>
      <c r="F416" s="59"/>
      <c r="G416" s="59"/>
      <c r="H416" s="60"/>
      <c r="I416" s="60"/>
    </row>
    <row r="417" spans="2:9" x14ac:dyDescent="0.25">
      <c r="B417" s="58"/>
      <c r="C417" s="58"/>
      <c r="D417" s="59"/>
      <c r="E417" s="59"/>
      <c r="F417" s="59"/>
      <c r="G417" s="59"/>
      <c r="H417" s="60"/>
      <c r="I417" s="60"/>
    </row>
    <row r="418" spans="2:9" x14ac:dyDescent="0.25">
      <c r="B418" s="58"/>
      <c r="C418" s="58"/>
      <c r="D418" s="59"/>
      <c r="E418" s="59"/>
      <c r="F418" s="59"/>
      <c r="G418" s="59"/>
      <c r="H418" s="60"/>
      <c r="I418" s="60"/>
    </row>
    <row r="419" spans="2:9" x14ac:dyDescent="0.25">
      <c r="B419" s="58"/>
      <c r="C419" s="58"/>
      <c r="D419" s="59"/>
      <c r="E419" s="59"/>
      <c r="F419" s="59"/>
      <c r="G419" s="59"/>
      <c r="H419" s="60"/>
      <c r="I419" s="60"/>
    </row>
    <row r="420" spans="2:9" x14ac:dyDescent="0.25">
      <c r="B420" s="58"/>
      <c r="C420" s="58"/>
      <c r="D420" s="59"/>
      <c r="E420" s="59"/>
      <c r="F420" s="59"/>
      <c r="G420" s="59"/>
      <c r="H420" s="60"/>
      <c r="I420" s="60"/>
    </row>
    <row r="421" spans="2:9" x14ac:dyDescent="0.25">
      <c r="B421" s="58"/>
      <c r="C421" s="58"/>
      <c r="D421" s="59"/>
      <c r="E421" s="59"/>
      <c r="F421" s="59"/>
      <c r="G421" s="59"/>
      <c r="H421" s="60"/>
      <c r="I421" s="60"/>
    </row>
    <row r="422" spans="2:9" x14ac:dyDescent="0.25">
      <c r="B422" s="58"/>
      <c r="C422" s="58"/>
      <c r="D422" s="59"/>
      <c r="E422" s="59"/>
      <c r="F422" s="59"/>
      <c r="G422" s="59"/>
      <c r="H422" s="60"/>
      <c r="I422" s="60"/>
    </row>
    <row r="423" spans="2:9" x14ac:dyDescent="0.25">
      <c r="B423" s="58"/>
      <c r="C423" s="58"/>
      <c r="D423" s="59"/>
      <c r="E423" s="59"/>
      <c r="F423" s="59"/>
      <c r="G423" s="59"/>
      <c r="H423" s="60"/>
      <c r="I423" s="60"/>
    </row>
    <row r="424" spans="2:9" x14ac:dyDescent="0.25">
      <c r="B424" s="58"/>
      <c r="C424" s="58"/>
      <c r="D424" s="59"/>
      <c r="E424" s="59"/>
      <c r="F424" s="59"/>
      <c r="G424" s="59"/>
      <c r="H424" s="60"/>
      <c r="I424" s="60"/>
    </row>
    <row r="425" spans="2:9" x14ac:dyDescent="0.25">
      <c r="B425" s="58"/>
      <c r="C425" s="58"/>
      <c r="D425" s="59"/>
      <c r="E425" s="59"/>
      <c r="F425" s="59"/>
      <c r="G425" s="59"/>
      <c r="H425" s="60"/>
      <c r="I425" s="60"/>
    </row>
    <row r="426" spans="2:9" x14ac:dyDescent="0.25">
      <c r="B426" s="58"/>
      <c r="C426" s="58"/>
      <c r="D426" s="59"/>
      <c r="E426" s="59"/>
      <c r="F426" s="59"/>
      <c r="G426" s="59"/>
      <c r="H426" s="60"/>
      <c r="I426" s="60"/>
    </row>
    <row r="427" spans="2:9" x14ac:dyDescent="0.25">
      <c r="B427" s="58"/>
      <c r="C427" s="58"/>
      <c r="D427" s="59"/>
      <c r="E427" s="59"/>
      <c r="F427" s="59"/>
      <c r="G427" s="59"/>
      <c r="H427" s="60"/>
      <c r="I427" s="60"/>
    </row>
    <row r="428" spans="2:9" x14ac:dyDescent="0.25">
      <c r="B428" s="58"/>
      <c r="C428" s="58"/>
      <c r="D428" s="59"/>
      <c r="E428" s="59"/>
      <c r="F428" s="59"/>
      <c r="G428" s="59"/>
      <c r="H428" s="60"/>
      <c r="I428" s="60"/>
    </row>
    <row r="429" spans="2:9" x14ac:dyDescent="0.25">
      <c r="B429" s="58"/>
      <c r="C429" s="58"/>
      <c r="D429" s="59"/>
      <c r="E429" s="59"/>
      <c r="F429" s="59"/>
      <c r="G429" s="59"/>
      <c r="H429" s="60"/>
      <c r="I429" s="60"/>
    </row>
    <row r="430" spans="2:9" x14ac:dyDescent="0.25">
      <c r="B430" s="58"/>
      <c r="C430" s="58"/>
      <c r="D430" s="59"/>
      <c r="E430" s="59"/>
      <c r="F430" s="59"/>
      <c r="G430" s="59"/>
      <c r="H430" s="60"/>
      <c r="I430" s="60"/>
    </row>
    <row r="431" spans="2:9" x14ac:dyDescent="0.25">
      <c r="B431" s="58"/>
      <c r="C431" s="58"/>
      <c r="D431" s="59"/>
      <c r="E431" s="59"/>
      <c r="F431" s="59"/>
      <c r="G431" s="59"/>
      <c r="H431" s="60"/>
      <c r="I431" s="60"/>
    </row>
    <row r="432" spans="2:9" x14ac:dyDescent="0.25">
      <c r="B432" s="58"/>
      <c r="C432" s="58"/>
      <c r="D432" s="59"/>
      <c r="E432" s="59"/>
      <c r="F432" s="59"/>
      <c r="G432" s="59"/>
      <c r="H432" s="60"/>
      <c r="I432" s="60"/>
    </row>
    <row r="433" spans="2:9" x14ac:dyDescent="0.25">
      <c r="B433" s="58"/>
      <c r="C433" s="58"/>
      <c r="D433" s="59"/>
      <c r="E433" s="59"/>
      <c r="F433" s="59"/>
      <c r="G433" s="59"/>
      <c r="H433" s="60"/>
      <c r="I433" s="60"/>
    </row>
    <row r="434" spans="2:9" x14ac:dyDescent="0.25">
      <c r="B434" s="58"/>
      <c r="C434" s="58"/>
      <c r="D434" s="59"/>
      <c r="E434" s="59"/>
      <c r="F434" s="59"/>
      <c r="G434" s="59"/>
      <c r="H434" s="60"/>
      <c r="I434" s="60"/>
    </row>
    <row r="435" spans="2:9" x14ac:dyDescent="0.25">
      <c r="B435" s="58"/>
      <c r="C435" s="58"/>
      <c r="D435" s="59"/>
      <c r="E435" s="59"/>
      <c r="F435" s="59"/>
      <c r="G435" s="59"/>
      <c r="H435" s="60"/>
      <c r="I435" s="60"/>
    </row>
    <row r="436" spans="2:9" x14ac:dyDescent="0.25">
      <c r="B436" s="58"/>
      <c r="C436" s="58"/>
      <c r="D436" s="59"/>
      <c r="E436" s="59"/>
      <c r="F436" s="59"/>
      <c r="G436" s="59"/>
      <c r="H436" s="60"/>
      <c r="I436" s="60"/>
    </row>
    <row r="437" spans="2:9" x14ac:dyDescent="0.25">
      <c r="B437" s="58"/>
      <c r="C437" s="58"/>
      <c r="D437" s="59"/>
      <c r="E437" s="59"/>
      <c r="F437" s="59"/>
      <c r="G437" s="59"/>
      <c r="H437" s="60"/>
      <c r="I437" s="60"/>
    </row>
    <row r="438" spans="2:9" x14ac:dyDescent="0.25">
      <c r="B438" s="58"/>
      <c r="C438" s="58"/>
      <c r="D438" s="59"/>
      <c r="E438" s="59"/>
      <c r="F438" s="59"/>
      <c r="G438" s="59"/>
      <c r="H438" s="60"/>
      <c r="I438" s="60"/>
    </row>
    <row r="439" spans="2:9" x14ac:dyDescent="0.25">
      <c r="B439" s="58"/>
      <c r="C439" s="58"/>
      <c r="D439" s="59"/>
      <c r="E439" s="59"/>
      <c r="F439" s="59"/>
      <c r="G439" s="59"/>
      <c r="H439" s="60"/>
      <c r="I439" s="60"/>
    </row>
    <row r="440" spans="2:9" x14ac:dyDescent="0.25">
      <c r="B440" s="58"/>
      <c r="C440" s="58"/>
      <c r="D440" s="59"/>
      <c r="E440" s="59"/>
      <c r="F440" s="59"/>
      <c r="G440" s="59"/>
      <c r="H440" s="60"/>
      <c r="I440" s="60"/>
    </row>
    <row r="441" spans="2:9" x14ac:dyDescent="0.25">
      <c r="B441" s="58"/>
      <c r="C441" s="58"/>
      <c r="D441" s="59"/>
      <c r="E441" s="59"/>
      <c r="F441" s="59"/>
      <c r="G441" s="59"/>
      <c r="H441" s="60"/>
      <c r="I441" s="60"/>
    </row>
    <row r="442" spans="2:9" x14ac:dyDescent="0.25">
      <c r="B442" s="58"/>
      <c r="C442" s="58"/>
      <c r="D442" s="59"/>
      <c r="E442" s="59"/>
      <c r="F442" s="59"/>
      <c r="G442" s="59"/>
      <c r="H442" s="60"/>
      <c r="I442" s="60"/>
    </row>
    <row r="443" spans="2:9" x14ac:dyDescent="0.25">
      <c r="B443" s="58"/>
      <c r="C443" s="58"/>
      <c r="D443" s="59"/>
      <c r="E443" s="59"/>
      <c r="F443" s="59"/>
      <c r="G443" s="59"/>
      <c r="H443" s="60"/>
      <c r="I443" s="60"/>
    </row>
    <row r="444" spans="2:9" x14ac:dyDescent="0.25">
      <c r="B444" s="58"/>
      <c r="C444" s="58"/>
      <c r="D444" s="59"/>
      <c r="E444" s="59"/>
      <c r="F444" s="59"/>
      <c r="G444" s="59"/>
      <c r="H444" s="60"/>
      <c r="I444" s="60"/>
    </row>
    <row r="445" spans="2:9" x14ac:dyDescent="0.25">
      <c r="B445" s="58"/>
      <c r="C445" s="58"/>
      <c r="D445" s="59"/>
      <c r="E445" s="59"/>
      <c r="F445" s="59"/>
      <c r="G445" s="59"/>
      <c r="H445" s="60"/>
      <c r="I445" s="60"/>
    </row>
    <row r="446" spans="2:9" x14ac:dyDescent="0.25">
      <c r="B446" s="58"/>
      <c r="C446" s="58"/>
      <c r="D446" s="59"/>
      <c r="E446" s="59"/>
      <c r="F446" s="59"/>
      <c r="G446" s="59"/>
      <c r="H446" s="60"/>
      <c r="I446" s="60"/>
    </row>
    <row r="447" spans="2:9" x14ac:dyDescent="0.25">
      <c r="B447" s="58"/>
      <c r="C447" s="58"/>
      <c r="D447" s="59"/>
      <c r="E447" s="59"/>
      <c r="F447" s="59"/>
      <c r="G447" s="59"/>
      <c r="H447" s="60"/>
      <c r="I447" s="60"/>
    </row>
    <row r="448" spans="2:9" x14ac:dyDescent="0.25">
      <c r="B448" s="58"/>
      <c r="C448" s="58"/>
      <c r="D448" s="59"/>
      <c r="E448" s="59"/>
      <c r="F448" s="59"/>
      <c r="G448" s="59"/>
      <c r="H448" s="60"/>
      <c r="I448" s="60"/>
    </row>
    <row r="449" spans="2:9" x14ac:dyDescent="0.25">
      <c r="B449" s="58"/>
      <c r="C449" s="58"/>
      <c r="D449" s="59"/>
      <c r="E449" s="59"/>
      <c r="F449" s="59"/>
      <c r="G449" s="59"/>
      <c r="H449" s="60"/>
      <c r="I449" s="60"/>
    </row>
    <row r="450" spans="2:9" x14ac:dyDescent="0.25">
      <c r="B450" s="58"/>
      <c r="C450" s="58"/>
      <c r="D450" s="59"/>
      <c r="E450" s="59"/>
      <c r="F450" s="59"/>
      <c r="G450" s="59"/>
      <c r="H450" s="60"/>
      <c r="I450" s="60"/>
    </row>
    <row r="451" spans="2:9" x14ac:dyDescent="0.25">
      <c r="B451" s="58"/>
      <c r="C451" s="58"/>
      <c r="D451" s="59"/>
      <c r="E451" s="59"/>
      <c r="F451" s="59"/>
      <c r="G451" s="59"/>
      <c r="H451" s="60"/>
      <c r="I451" s="60"/>
    </row>
    <row r="452" spans="2:9" x14ac:dyDescent="0.25">
      <c r="B452" s="58"/>
      <c r="C452" s="58"/>
      <c r="D452" s="59"/>
      <c r="E452" s="59"/>
      <c r="F452" s="59"/>
      <c r="G452" s="59"/>
      <c r="H452" s="60"/>
      <c r="I452" s="60"/>
    </row>
    <row r="453" spans="2:9" x14ac:dyDescent="0.25">
      <c r="B453" s="58"/>
      <c r="C453" s="58"/>
      <c r="D453" s="59"/>
      <c r="E453" s="59"/>
      <c r="F453" s="59"/>
      <c r="G453" s="59"/>
      <c r="H453" s="60"/>
      <c r="I453" s="60"/>
    </row>
    <row r="454" spans="2:9" x14ac:dyDescent="0.25">
      <c r="B454" s="58"/>
      <c r="C454" s="58"/>
      <c r="D454" s="59"/>
      <c r="E454" s="59"/>
      <c r="F454" s="59"/>
      <c r="G454" s="59"/>
      <c r="H454" s="60"/>
      <c r="I454" s="60"/>
    </row>
    <row r="455" spans="2:9" x14ac:dyDescent="0.25">
      <c r="B455" s="58"/>
      <c r="C455" s="58"/>
      <c r="D455" s="59"/>
      <c r="E455" s="59"/>
      <c r="F455" s="59"/>
      <c r="G455" s="59"/>
      <c r="H455" s="60"/>
      <c r="I455" s="60"/>
    </row>
    <row r="456" spans="2:9" x14ac:dyDescent="0.25">
      <c r="B456" s="58"/>
      <c r="C456" s="58"/>
      <c r="D456" s="59"/>
      <c r="E456" s="59"/>
      <c r="F456" s="59"/>
      <c r="G456" s="59"/>
      <c r="H456" s="60"/>
      <c r="I456" s="60"/>
    </row>
    <row r="457" spans="2:9" x14ac:dyDescent="0.25">
      <c r="B457" s="58"/>
      <c r="C457" s="58"/>
      <c r="D457" s="59"/>
      <c r="E457" s="59"/>
      <c r="F457" s="59"/>
      <c r="G457" s="59"/>
      <c r="H457" s="60"/>
      <c r="I457" s="60"/>
    </row>
    <row r="458" spans="2:9" x14ac:dyDescent="0.25">
      <c r="B458" s="58"/>
      <c r="C458" s="58"/>
      <c r="D458" s="59"/>
      <c r="E458" s="59"/>
      <c r="F458" s="59"/>
      <c r="G458" s="59"/>
      <c r="H458" s="60"/>
      <c r="I458" s="60"/>
    </row>
    <row r="459" spans="2:9" x14ac:dyDescent="0.25">
      <c r="B459" s="58"/>
      <c r="C459" s="58"/>
      <c r="D459" s="59"/>
      <c r="E459" s="59"/>
      <c r="F459" s="59"/>
      <c r="G459" s="59"/>
      <c r="H459" s="60"/>
      <c r="I459" s="60"/>
    </row>
    <row r="460" spans="2:9" x14ac:dyDescent="0.25">
      <c r="B460" s="58"/>
      <c r="C460" s="58"/>
      <c r="D460" s="59"/>
      <c r="E460" s="59"/>
      <c r="F460" s="59"/>
      <c r="G460" s="59"/>
      <c r="H460" s="60"/>
      <c r="I460" s="60"/>
    </row>
    <row r="461" spans="2:9" x14ac:dyDescent="0.25">
      <c r="B461" s="58"/>
      <c r="C461" s="58"/>
      <c r="D461" s="59"/>
      <c r="E461" s="59"/>
      <c r="F461" s="59"/>
      <c r="G461" s="59"/>
      <c r="H461" s="60"/>
      <c r="I461" s="60"/>
    </row>
    <row r="462" spans="2:9" x14ac:dyDescent="0.25">
      <c r="B462" s="58"/>
      <c r="C462" s="58"/>
      <c r="D462" s="59"/>
      <c r="E462" s="59"/>
      <c r="F462" s="59"/>
      <c r="G462" s="59"/>
      <c r="H462" s="60"/>
      <c r="I462" s="60"/>
    </row>
    <row r="463" spans="2:9" x14ac:dyDescent="0.25">
      <c r="B463" s="58"/>
      <c r="C463" s="58"/>
      <c r="D463" s="59"/>
      <c r="E463" s="59"/>
      <c r="F463" s="59"/>
      <c r="G463" s="59"/>
      <c r="H463" s="60"/>
      <c r="I463" s="60"/>
    </row>
    <row r="464" spans="2:9" x14ac:dyDescent="0.25">
      <c r="B464" s="58"/>
      <c r="C464" s="58"/>
      <c r="D464" s="59"/>
      <c r="E464" s="59"/>
      <c r="F464" s="59"/>
      <c r="G464" s="59"/>
      <c r="H464" s="60"/>
      <c r="I464" s="60"/>
    </row>
    <row r="465" spans="2:9" x14ac:dyDescent="0.25">
      <c r="B465" s="58"/>
      <c r="C465" s="58"/>
      <c r="D465" s="59"/>
      <c r="E465" s="59"/>
      <c r="F465" s="59"/>
      <c r="G465" s="59"/>
      <c r="H465" s="60"/>
      <c r="I465" s="60"/>
    </row>
    <row r="466" spans="2:9" x14ac:dyDescent="0.25">
      <c r="B466" s="58"/>
      <c r="C466" s="58"/>
      <c r="D466" s="59"/>
      <c r="E466" s="59"/>
      <c r="F466" s="59"/>
      <c r="G466" s="59"/>
      <c r="H466" s="60"/>
      <c r="I466" s="60"/>
    </row>
    <row r="467" spans="2:9" x14ac:dyDescent="0.25">
      <c r="B467" s="58"/>
      <c r="C467" s="58"/>
      <c r="D467" s="59"/>
      <c r="E467" s="59"/>
      <c r="F467" s="59"/>
      <c r="G467" s="59"/>
      <c r="H467" s="60"/>
      <c r="I467" s="60"/>
    </row>
    <row r="468" spans="2:9" x14ac:dyDescent="0.25">
      <c r="B468" s="58"/>
      <c r="C468" s="58"/>
      <c r="D468" s="59"/>
      <c r="E468" s="59"/>
      <c r="F468" s="59"/>
      <c r="G468" s="59"/>
      <c r="H468" s="60"/>
      <c r="I468" s="60"/>
    </row>
    <row r="469" spans="2:9" x14ac:dyDescent="0.25">
      <c r="B469" s="58"/>
      <c r="C469" s="58"/>
      <c r="D469" s="59"/>
      <c r="E469" s="59"/>
      <c r="F469" s="59"/>
      <c r="G469" s="59"/>
      <c r="H469" s="60"/>
      <c r="I469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 Study</vt:lpstr>
      <vt:lpstr>Dashboard</vt:lpstr>
      <vt:lpstr>Monthly Cashflow</vt:lpstr>
      <vt:lpstr>Yearly Cashflow</vt:lpstr>
      <vt:lpstr>Amortization of Loan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Jyoti Singh</dc:creator>
  <cp:keywords/>
  <dc:description/>
  <cp:lastModifiedBy>deepak singh</cp:lastModifiedBy>
  <cp:revision/>
  <dcterms:created xsi:type="dcterms:W3CDTF">2020-07-26T17:04:07Z</dcterms:created>
  <dcterms:modified xsi:type="dcterms:W3CDTF">2026-03-14T14:30:40Z</dcterms:modified>
  <cp:category/>
  <cp:contentStatus/>
</cp:coreProperties>
</file>